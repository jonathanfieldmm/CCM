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CCm/Main Files/Used/"/>
    </mc:Choice>
  </mc:AlternateContent>
  <xr:revisionPtr revIDLastSave="46" documentId="8_{2299C434-4195-4BDA-9D0C-F32ADA8FCC87}" xr6:coauthVersionLast="47" xr6:coauthVersionMax="47" xr10:uidLastSave="{33EC5CE1-7F3C-4EF9-ACFC-99BA47BE988B}"/>
  <bookViews>
    <workbookView xWindow="696" yWindow="1728" windowWidth="21600" windowHeight="11304" xr2:uid="{CB4556F6-D58A-4CC1-9845-A8797615E1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</calcChain>
</file>

<file path=xl/sharedStrings.xml><?xml version="1.0" encoding="utf-8"?>
<sst xmlns="http://schemas.openxmlformats.org/spreadsheetml/2006/main" count="200" uniqueCount="125">
  <si>
    <t>Region</t>
  </si>
  <si>
    <t>County</t>
  </si>
  <si>
    <t>Developer</t>
  </si>
  <si>
    <t>Postcode</t>
  </si>
  <si>
    <t>Capacity (kWe)</t>
  </si>
  <si>
    <t>Biomethane capacity (Nm3/hr biomethane)</t>
  </si>
  <si>
    <t>Output</t>
  </si>
  <si>
    <t>Status</t>
  </si>
  <si>
    <t>Completion</t>
  </si>
  <si>
    <t>Type</t>
  </si>
  <si>
    <t>Feedstock</t>
  </si>
  <si>
    <t>Total feedstock (tpa)</t>
  </si>
  <si>
    <t>Manure/ Slurry (tpa)</t>
  </si>
  <si>
    <t>Crop (tpa)</t>
  </si>
  <si>
    <t>Food Waste (tpa)</t>
  </si>
  <si>
    <t>Crop Waste (tpa)</t>
  </si>
  <si>
    <t>Other Waste (tpa)</t>
  </si>
  <si>
    <t>EM</t>
  </si>
  <si>
    <t>Nottinghamshire</t>
  </si>
  <si>
    <t>Bio Dynamic / Air Liquide</t>
  </si>
  <si>
    <t>Colwick Industrial Estate</t>
  </si>
  <si>
    <t>NG4 2JT</t>
  </si>
  <si>
    <t>BtG &amp; CHP</t>
  </si>
  <si>
    <t>Operational</t>
  </si>
  <si>
    <t>Waste-fed</t>
  </si>
  <si>
    <t>Food waste</t>
  </si>
  <si>
    <t>SC</t>
  </si>
  <si>
    <t>South Western Scotland</t>
  </si>
  <si>
    <t>Shanks</t>
  </si>
  <si>
    <t>Cumbernauld AD</t>
  </si>
  <si>
    <t>G67 3EN</t>
  </si>
  <si>
    <t>Organic fraction of MSW &amp; C&amp;I waste</t>
  </si>
  <si>
    <t>Grissan Energy</t>
  </si>
  <si>
    <t>Girvan Distillery 1</t>
  </si>
  <si>
    <t>KA26 9PL</t>
  </si>
  <si>
    <t xml:space="preserve">Brewery waste </t>
  </si>
  <si>
    <t>Lincolnshire</t>
  </si>
  <si>
    <t>BioteCH4</t>
  </si>
  <si>
    <t>Hemswell Cliff Industrial Estate</t>
  </si>
  <si>
    <t>DN21 5TU</t>
  </si>
  <si>
    <t>YH</t>
  </si>
  <si>
    <t>North Yorkshire</t>
  </si>
  <si>
    <t>AVG Imperial Limited</t>
  </si>
  <si>
    <t>Imperial Park</t>
  </si>
  <si>
    <t>TS6 6BA</t>
  </si>
  <si>
    <t>CHP</t>
  </si>
  <si>
    <t>Maize, wheat chaff, slurry, food waste, garden waste, animal by-product &amp; glycerol</t>
  </si>
  <si>
    <t>EE</t>
  </si>
  <si>
    <t>Cambridgeshire</t>
  </si>
  <si>
    <t>Local Generation</t>
  </si>
  <si>
    <t>PE15 0BA</t>
  </si>
  <si>
    <t>LDN</t>
  </si>
  <si>
    <t>Greater London</t>
  </si>
  <si>
    <t>Saria</t>
  </si>
  <si>
    <t>London Sustainable Industries Park (ReFood)</t>
  </si>
  <si>
    <t>RM9 6RA</t>
  </si>
  <si>
    <t>NW</t>
  </si>
  <si>
    <t>Cheshire</t>
  </si>
  <si>
    <t>DONG Energy</t>
  </si>
  <si>
    <t>Lostock Works</t>
  </si>
  <si>
    <t>CW9 7ZR</t>
  </si>
  <si>
    <t>WM</t>
  </si>
  <si>
    <t>Staffordshire</t>
  </si>
  <si>
    <t>Biffa</t>
  </si>
  <si>
    <t>Poplars Landfill AD</t>
  </si>
  <si>
    <t>WS11 8NQ</t>
  </si>
  <si>
    <t>Highlands &amp; Islands</t>
  </si>
  <si>
    <t>Portgordon Maltings Beyside</t>
  </si>
  <si>
    <t>AB56 5BU</t>
  </si>
  <si>
    <t>Draff and Pot Ale</t>
  </si>
  <si>
    <t>South Yorkshire</t>
  </si>
  <si>
    <t>Saria &amp; PDM</t>
  </si>
  <si>
    <t>ReFood Doncaster AD</t>
  </si>
  <si>
    <t>DN5 9SW</t>
  </si>
  <si>
    <t>ReFood Widnes</t>
  </si>
  <si>
    <t>WA8 0PB</t>
  </si>
  <si>
    <t>Aberdeenshire</t>
  </si>
  <si>
    <t>Brewdog PLC</t>
  </si>
  <si>
    <t>Site 8 Brewdog</t>
  </si>
  <si>
    <t>AB41 8BX</t>
  </si>
  <si>
    <t>Waste from brewery</t>
  </si>
  <si>
    <t>Norfolk</t>
  </si>
  <si>
    <t>Eco Verde Energy / Privilege Finance / Attleborough Eco Electric</t>
  </si>
  <si>
    <t>SS Agri AD Power Facility / Attleborough AD Plant</t>
  </si>
  <si>
    <t>NR17 1AE</t>
  </si>
  <si>
    <t>Energy crops, animal slurry &amp; food waste</t>
  </si>
  <si>
    <t>SW</t>
  </si>
  <si>
    <t>Gloucestershire</t>
  </si>
  <si>
    <t>Northwick Biogas</t>
  </si>
  <si>
    <t>Stanley's Quarry</t>
  </si>
  <si>
    <t>GL55 6UR</t>
  </si>
  <si>
    <t>Animal manures, food waste &amp; organic fraction of MSW</t>
  </si>
  <si>
    <t>BF Biogas</t>
  </si>
  <si>
    <t>Teeside Green Energy Plant</t>
  </si>
  <si>
    <t>TS6 6AF</t>
  </si>
  <si>
    <t>Green waste, animal slurry &amp; food waste</t>
  </si>
  <si>
    <t>NI</t>
  </si>
  <si>
    <t>East of Northern Ireland</t>
  </si>
  <si>
    <t>Stream Bioenergy</t>
  </si>
  <si>
    <t>Tully Quarry</t>
  </si>
  <si>
    <t>BT42 3HJ</t>
  </si>
  <si>
    <t>Farm-fed</t>
  </si>
  <si>
    <t>Poultry litter/Manure</t>
  </si>
  <si>
    <t>NE</t>
  </si>
  <si>
    <t>Durham</t>
  </si>
  <si>
    <t>Emerald Biogas</t>
  </si>
  <si>
    <t>Warrens Emerald Biogas</t>
  </si>
  <si>
    <t>DL5 6AB</t>
  </si>
  <si>
    <t>Devon</t>
  </si>
  <si>
    <t>H2Energy/ 2 Sisters Food Group</t>
  </si>
  <si>
    <t>Willand AD</t>
  </si>
  <si>
    <t>EX15 2PJ</t>
  </si>
  <si>
    <t>Poultry abbatoir waste, grass silage, sugar beet &amp; maize</t>
  </si>
  <si>
    <t>X Coordinates</t>
  </si>
  <si>
    <t>Y Coordinates</t>
  </si>
  <si>
    <t>Purchase Price (£/tonne)</t>
  </si>
  <si>
    <t>Water Content (%)</t>
  </si>
  <si>
    <t>Available Quantity (tonnes/year)</t>
  </si>
  <si>
    <t>Site Reference</t>
  </si>
  <si>
    <t xml:space="preserve">Manure/ Slurry </t>
  </si>
  <si>
    <t xml:space="preserve">Crop </t>
  </si>
  <si>
    <t xml:space="preserve">Food Waste </t>
  </si>
  <si>
    <t xml:space="preserve">Crop Waste </t>
  </si>
  <si>
    <t xml:space="preserve">Other Waste </t>
  </si>
  <si>
    <t>£/Tonne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</si>
</sst>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D33A-41D1-4DD0-9F6A-F0EE2E4AAB83}">
  <dimension ref="A1:W20"/>
  <sheetViews>
    <sheetView tabSelected="1" topLeftCell="F1" zoomScale="85" zoomScaleNormal="85" workbookViewId="0">
      <selection activeCell="U3" sqref="U3"/>
    </sheetView>
  </sheetViews>
  <sheetFormatPr defaultRowHeight="14.4" x14ac:dyDescent="0.3"/>
  <cols>
    <col min="2" max="2" width="20.88671875" bestFit="1" customWidth="1"/>
    <col min="13" max="13" width="19.109375" bestFit="1" customWidth="1"/>
    <col min="14" max="14" width="19.33203125" bestFit="1" customWidth="1"/>
    <col min="15" max="15" width="9.77734375" bestFit="1" customWidth="1"/>
    <col min="16" max="16" width="16.109375" bestFit="1" customWidth="1"/>
    <col min="17" max="17" width="16" bestFit="1" customWidth="1"/>
    <col min="18" max="18" width="17.109375" bestFit="1" customWidth="1"/>
    <col min="19" max="19" width="13.33203125" bestFit="1" customWidth="1"/>
    <col min="20" max="20" width="13.21875" bestFit="1" customWidth="1"/>
    <col min="21" max="21" width="23.5546875" bestFit="1" customWidth="1"/>
    <col min="22" max="22" width="17.88671875" bestFit="1" customWidth="1"/>
    <col min="23" max="23" width="22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118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113</v>
      </c>
      <c r="T1" s="3" t="s">
        <v>114</v>
      </c>
      <c r="U1" s="3" t="s">
        <v>115</v>
      </c>
      <c r="V1" s="3" t="s">
        <v>116</v>
      </c>
      <c r="W1" s="3" t="s">
        <v>117</v>
      </c>
    </row>
    <row r="2" spans="1:23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4999</v>
      </c>
      <c r="G2">
        <v>800</v>
      </c>
      <c r="H2" t="s">
        <v>22</v>
      </c>
      <c r="I2" t="s">
        <v>23</v>
      </c>
      <c r="J2">
        <v>2016</v>
      </c>
      <c r="K2" t="s">
        <v>24</v>
      </c>
      <c r="L2" t="s">
        <v>25</v>
      </c>
      <c r="M2">
        <v>150000</v>
      </c>
      <c r="N2">
        <v>0</v>
      </c>
      <c r="O2">
        <v>0</v>
      </c>
      <c r="P2">
        <v>100000</v>
      </c>
      <c r="Q2">
        <v>0</v>
      </c>
      <c r="R2">
        <v>0</v>
      </c>
      <c r="S2">
        <v>52.953389999999999</v>
      </c>
      <c r="T2">
        <v>-1.0602799000000001</v>
      </c>
      <c r="U2">
        <f>(N2*Sheet2!B$2+O2*Sheet2!C$2+P2*Sheet2!D$2+Q2*Sheet2!E$2+R2*Sheet2!F$2)/SUM(N2:R2)</f>
        <v>5</v>
      </c>
      <c r="V2">
        <v>0.9</v>
      </c>
      <c r="W2">
        <f>M2*V2*0.1</f>
        <v>13500</v>
      </c>
    </row>
    <row r="3" spans="1:23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3600</v>
      </c>
      <c r="G3">
        <v>495.00000000000011</v>
      </c>
      <c r="H3" t="s">
        <v>22</v>
      </c>
      <c r="I3" t="s">
        <v>23</v>
      </c>
      <c r="J3">
        <v>2011</v>
      </c>
      <c r="K3" t="s">
        <v>24</v>
      </c>
      <c r="L3" t="s">
        <v>31</v>
      </c>
      <c r="M3">
        <v>120000</v>
      </c>
      <c r="N3">
        <v>0</v>
      </c>
      <c r="O3">
        <v>0</v>
      </c>
      <c r="P3">
        <v>80000</v>
      </c>
      <c r="Q3">
        <v>0</v>
      </c>
      <c r="R3">
        <v>40000</v>
      </c>
      <c r="S3">
        <v>55.969749999999998</v>
      </c>
      <c r="T3">
        <v>-3.9568300000000001</v>
      </c>
      <c r="U3" s="2">
        <f>(N3*Sheet2!B$2+O3*Sheet2!C$2+P3*Sheet2!D$2+Q3*Sheet2!E$2+R3*Sheet2!F$2)/SUM(N3:R3)</f>
        <v>16.666666666666668</v>
      </c>
      <c r="V3" s="2">
        <v>0.9</v>
      </c>
      <c r="W3" s="2">
        <f t="shared" ref="W3:W20" si="0">M3*0.9*0.1</f>
        <v>10800</v>
      </c>
    </row>
    <row r="4" spans="1:23" x14ac:dyDescent="0.3">
      <c r="A4" t="s">
        <v>26</v>
      </c>
      <c r="B4" t="s">
        <v>27</v>
      </c>
      <c r="C4" t="s">
        <v>32</v>
      </c>
      <c r="D4" t="s">
        <v>33</v>
      </c>
      <c r="E4" t="s">
        <v>34</v>
      </c>
      <c r="F4">
        <v>7200</v>
      </c>
      <c r="G4">
        <v>2750</v>
      </c>
      <c r="H4" t="s">
        <v>22</v>
      </c>
      <c r="I4" t="s">
        <v>23</v>
      </c>
      <c r="J4">
        <v>2009</v>
      </c>
      <c r="K4" t="s">
        <v>24</v>
      </c>
      <c r="L4" t="s">
        <v>35</v>
      </c>
      <c r="M4">
        <v>300000</v>
      </c>
      <c r="N4">
        <v>0</v>
      </c>
      <c r="O4">
        <v>0</v>
      </c>
      <c r="P4">
        <v>0</v>
      </c>
      <c r="Q4">
        <v>0</v>
      </c>
      <c r="R4">
        <v>300000</v>
      </c>
      <c r="S4">
        <v>55.263190000000002</v>
      </c>
      <c r="T4">
        <v>-4.8326799999999999</v>
      </c>
      <c r="U4" s="2">
        <f>(N4*Sheet2!B$2+O4*Sheet2!C$2+P4*Sheet2!D$2+Q4*Sheet2!E$2+R4*Sheet2!F$2)/SUM(N4:R4)</f>
        <v>40</v>
      </c>
      <c r="V4" s="2">
        <v>0.9</v>
      </c>
      <c r="W4" s="2">
        <f t="shared" si="0"/>
        <v>27000</v>
      </c>
    </row>
    <row r="5" spans="1:23" x14ac:dyDescent="0.3">
      <c r="A5" t="s">
        <v>17</v>
      </c>
      <c r="B5" t="s">
        <v>36</v>
      </c>
      <c r="C5" t="s">
        <v>37</v>
      </c>
      <c r="D5" t="s">
        <v>38</v>
      </c>
      <c r="E5" t="s">
        <v>39</v>
      </c>
      <c r="F5">
        <v>6000</v>
      </c>
      <c r="G5">
        <v>950</v>
      </c>
      <c r="H5" t="s">
        <v>22</v>
      </c>
      <c r="I5" t="s">
        <v>23</v>
      </c>
      <c r="J5">
        <v>2015</v>
      </c>
      <c r="K5" t="s">
        <v>24</v>
      </c>
      <c r="L5" t="s">
        <v>25</v>
      </c>
      <c r="M5">
        <v>140000</v>
      </c>
      <c r="N5">
        <v>0</v>
      </c>
      <c r="O5">
        <v>0</v>
      </c>
      <c r="P5">
        <v>140000</v>
      </c>
      <c r="Q5">
        <v>0</v>
      </c>
      <c r="R5">
        <v>0</v>
      </c>
      <c r="S5">
        <v>53.400129999999997</v>
      </c>
      <c r="T5">
        <v>-0.57747999999999999</v>
      </c>
      <c r="U5" s="2">
        <f>(N5*Sheet2!B$2+O5*Sheet2!C$2+P5*Sheet2!D$2+Q5*Sheet2!E$2+R5*Sheet2!F$2)/SUM(N5:R5)</f>
        <v>5</v>
      </c>
      <c r="V5" s="2">
        <v>0.9</v>
      </c>
      <c r="W5" s="2">
        <f t="shared" si="0"/>
        <v>12600</v>
      </c>
    </row>
    <row r="6" spans="1:23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>
        <v>5100</v>
      </c>
      <c r="G6">
        <v>0</v>
      </c>
      <c r="H6" t="s">
        <v>45</v>
      </c>
      <c r="I6" t="s">
        <v>23</v>
      </c>
      <c r="J6">
        <v>2017</v>
      </c>
      <c r="K6" t="s">
        <v>24</v>
      </c>
      <c r="L6" t="s">
        <v>46</v>
      </c>
      <c r="M6">
        <v>125000</v>
      </c>
      <c r="N6">
        <v>0</v>
      </c>
      <c r="O6">
        <v>40000</v>
      </c>
      <c r="P6">
        <v>40000</v>
      </c>
      <c r="Q6">
        <v>5000</v>
      </c>
      <c r="R6">
        <v>40000</v>
      </c>
      <c r="S6">
        <v>54.581659999999999</v>
      </c>
      <c r="T6">
        <v>-1.18319</v>
      </c>
      <c r="U6" s="2">
        <f>(N6*Sheet2!B$2+O6*Sheet2!C$2+P6*Sheet2!D$2+Q6*Sheet2!E$2+R6*Sheet2!F$2)/SUM(N6:R6)</f>
        <v>55.2</v>
      </c>
      <c r="V6" s="2">
        <v>0.9</v>
      </c>
      <c r="W6" s="2">
        <f t="shared" si="0"/>
        <v>11250</v>
      </c>
    </row>
    <row r="7" spans="1:23" x14ac:dyDescent="0.3">
      <c r="A7" t="s">
        <v>47</v>
      </c>
      <c r="B7" t="s">
        <v>48</v>
      </c>
      <c r="C7" t="s">
        <v>37</v>
      </c>
      <c r="D7" t="s">
        <v>49</v>
      </c>
      <c r="E7" t="s">
        <v>50</v>
      </c>
      <c r="F7">
        <v>5000</v>
      </c>
      <c r="G7">
        <v>950</v>
      </c>
      <c r="H7" t="s">
        <v>22</v>
      </c>
      <c r="I7" t="s">
        <v>23</v>
      </c>
      <c r="J7">
        <v>2011</v>
      </c>
      <c r="K7" t="s">
        <v>24</v>
      </c>
      <c r="L7" t="s">
        <v>25</v>
      </c>
      <c r="M7">
        <v>120000</v>
      </c>
      <c r="N7">
        <v>0</v>
      </c>
      <c r="O7">
        <v>0</v>
      </c>
      <c r="P7">
        <v>120000</v>
      </c>
      <c r="Q7">
        <v>0</v>
      </c>
      <c r="R7">
        <v>0</v>
      </c>
      <c r="S7">
        <v>52.568370000000002</v>
      </c>
      <c r="T7">
        <v>6.1030000000000001E-2</v>
      </c>
      <c r="U7" s="2">
        <f>(N7*Sheet2!B$2+O7*Sheet2!C$2+P7*Sheet2!D$2+Q7*Sheet2!E$2+R7*Sheet2!F$2)/SUM(N7:R7)</f>
        <v>5</v>
      </c>
      <c r="V7" s="2">
        <v>0.9</v>
      </c>
      <c r="W7" s="2">
        <f t="shared" si="0"/>
        <v>10800</v>
      </c>
    </row>
    <row r="8" spans="1:23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>
        <v>1900</v>
      </c>
      <c r="G8">
        <v>1100</v>
      </c>
      <c r="H8" t="s">
        <v>22</v>
      </c>
      <c r="I8" t="s">
        <v>23</v>
      </c>
      <c r="J8">
        <v>2017</v>
      </c>
      <c r="K8" t="s">
        <v>24</v>
      </c>
      <c r="L8" t="s">
        <v>25</v>
      </c>
      <c r="M8">
        <v>190000</v>
      </c>
      <c r="N8">
        <v>0</v>
      </c>
      <c r="O8">
        <v>0</v>
      </c>
      <c r="P8">
        <v>190000</v>
      </c>
      <c r="Q8">
        <v>0</v>
      </c>
      <c r="R8">
        <v>0</v>
      </c>
      <c r="S8">
        <v>51.517620000000001</v>
      </c>
      <c r="T8">
        <v>0.14393</v>
      </c>
      <c r="U8" s="2">
        <f>(N8*Sheet2!B$2+O8*Sheet2!C$2+P8*Sheet2!D$2+Q8*Sheet2!E$2+R8*Sheet2!F$2)/SUM(N8:R8)</f>
        <v>5</v>
      </c>
      <c r="V8" s="2">
        <v>0.9</v>
      </c>
      <c r="W8" s="2">
        <f t="shared" si="0"/>
        <v>17100</v>
      </c>
    </row>
    <row r="9" spans="1:23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>
        <v>6200</v>
      </c>
      <c r="G9">
        <v>0</v>
      </c>
      <c r="H9" t="s">
        <v>45</v>
      </c>
      <c r="I9" t="s">
        <v>23</v>
      </c>
      <c r="J9">
        <v>2016</v>
      </c>
      <c r="K9" t="s">
        <v>24</v>
      </c>
      <c r="L9" t="s">
        <v>31</v>
      </c>
      <c r="M9">
        <v>120000</v>
      </c>
      <c r="N9">
        <v>0</v>
      </c>
      <c r="O9">
        <v>0</v>
      </c>
      <c r="P9">
        <v>72000</v>
      </c>
      <c r="Q9">
        <v>0</v>
      </c>
      <c r="R9">
        <v>48000</v>
      </c>
      <c r="S9">
        <v>53.265039999999999</v>
      </c>
      <c r="T9">
        <v>-2.4775999</v>
      </c>
      <c r="U9" s="2">
        <f>(N9*Sheet2!B$2+O9*Sheet2!C$2+P9*Sheet2!D$2+Q9*Sheet2!E$2+R9*Sheet2!F$2)/SUM(N9:R9)</f>
        <v>19</v>
      </c>
      <c r="V9" s="2">
        <v>0.9</v>
      </c>
      <c r="W9" s="2">
        <f t="shared" si="0"/>
        <v>10800</v>
      </c>
    </row>
    <row r="10" spans="1:23" x14ac:dyDescent="0.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>
        <v>6000</v>
      </c>
      <c r="G10">
        <v>0</v>
      </c>
      <c r="H10" t="s">
        <v>45</v>
      </c>
      <c r="I10" t="s">
        <v>23</v>
      </c>
      <c r="J10">
        <v>2011</v>
      </c>
      <c r="K10" t="s">
        <v>24</v>
      </c>
      <c r="L10" t="s">
        <v>25</v>
      </c>
      <c r="M10">
        <v>120000</v>
      </c>
      <c r="N10">
        <v>0</v>
      </c>
      <c r="O10">
        <v>0</v>
      </c>
      <c r="P10">
        <v>120000</v>
      </c>
      <c r="Q10">
        <v>0</v>
      </c>
      <c r="R10">
        <v>0</v>
      </c>
      <c r="S10">
        <v>52.685229999999997</v>
      </c>
      <c r="T10">
        <v>-2.0137900000000002</v>
      </c>
      <c r="U10" s="2">
        <f>(N10*Sheet2!B$2+O10*Sheet2!C$2+P10*Sheet2!D$2+Q10*Sheet2!E$2+R10*Sheet2!F$2)/SUM(N10:R10)</f>
        <v>5</v>
      </c>
      <c r="V10" s="2">
        <v>0.9</v>
      </c>
      <c r="W10" s="2">
        <f t="shared" si="0"/>
        <v>10800</v>
      </c>
    </row>
    <row r="11" spans="1:23" x14ac:dyDescent="0.3">
      <c r="A11" t="s">
        <v>26</v>
      </c>
      <c r="B11" t="s">
        <v>66</v>
      </c>
      <c r="C11" t="s">
        <v>32</v>
      </c>
      <c r="D11" t="s">
        <v>67</v>
      </c>
      <c r="E11" t="s">
        <v>68</v>
      </c>
      <c r="F11">
        <v>5000</v>
      </c>
      <c r="G11">
        <v>800</v>
      </c>
      <c r="H11" t="s">
        <v>22</v>
      </c>
      <c r="I11" t="s">
        <v>23</v>
      </c>
      <c r="J11">
        <v>2020</v>
      </c>
      <c r="K11" t="s">
        <v>24</v>
      </c>
      <c r="L11" t="s">
        <v>69</v>
      </c>
      <c r="M11">
        <v>837500</v>
      </c>
      <c r="N11">
        <v>0</v>
      </c>
      <c r="O11">
        <v>0</v>
      </c>
      <c r="P11">
        <v>0</v>
      </c>
      <c r="Q11">
        <v>0</v>
      </c>
      <c r="R11">
        <v>837500</v>
      </c>
      <c r="S11">
        <v>57.659260000000003</v>
      </c>
      <c r="T11">
        <v>-3.0307900000000001</v>
      </c>
      <c r="U11" s="2">
        <f>(N11*Sheet2!B$2+O11*Sheet2!C$2+P11*Sheet2!D$2+Q11*Sheet2!E$2+R11*Sheet2!F$2)/SUM(N11:R11)</f>
        <v>40</v>
      </c>
      <c r="V11" s="2">
        <v>0.9</v>
      </c>
      <c r="W11" s="2">
        <f t="shared" si="0"/>
        <v>75375</v>
      </c>
    </row>
    <row r="12" spans="1:23" x14ac:dyDescent="0.3">
      <c r="A12" t="s">
        <v>40</v>
      </c>
      <c r="B12" t="s">
        <v>70</v>
      </c>
      <c r="C12" t="s">
        <v>71</v>
      </c>
      <c r="D12" t="s">
        <v>72</v>
      </c>
      <c r="E12" t="s">
        <v>73</v>
      </c>
      <c r="F12">
        <v>5000</v>
      </c>
      <c r="G12">
        <v>1100</v>
      </c>
      <c r="H12" t="s">
        <v>22</v>
      </c>
      <c r="I12" t="s">
        <v>23</v>
      </c>
      <c r="J12">
        <v>2011</v>
      </c>
      <c r="K12" t="s">
        <v>24</v>
      </c>
      <c r="L12" t="s">
        <v>25</v>
      </c>
      <c r="M12">
        <v>160000</v>
      </c>
      <c r="N12">
        <v>0</v>
      </c>
      <c r="O12">
        <v>0</v>
      </c>
      <c r="P12">
        <v>160000</v>
      </c>
      <c r="Q12">
        <v>0</v>
      </c>
      <c r="R12">
        <v>0</v>
      </c>
      <c r="S12">
        <v>53.5466026</v>
      </c>
      <c r="T12">
        <v>-1.2132909000000001</v>
      </c>
      <c r="U12" s="2">
        <f>(N12*Sheet2!B$2+O12*Sheet2!C$2+P12*Sheet2!D$2+Q12*Sheet2!E$2+R12*Sheet2!F$2)/SUM(N12:R12)</f>
        <v>5</v>
      </c>
      <c r="V12" s="2">
        <v>0.9</v>
      </c>
      <c r="W12" s="2">
        <f t="shared" si="0"/>
        <v>14400</v>
      </c>
    </row>
    <row r="13" spans="1:23" x14ac:dyDescent="0.3">
      <c r="A13" t="s">
        <v>56</v>
      </c>
      <c r="B13" t="s">
        <v>57</v>
      </c>
      <c r="C13" t="s">
        <v>53</v>
      </c>
      <c r="D13" t="s">
        <v>74</v>
      </c>
      <c r="E13" t="s">
        <v>75</v>
      </c>
      <c r="F13">
        <v>500</v>
      </c>
      <c r="G13">
        <v>1100</v>
      </c>
      <c r="H13" t="s">
        <v>22</v>
      </c>
      <c r="I13" t="s">
        <v>23</v>
      </c>
      <c r="J13">
        <v>2014</v>
      </c>
      <c r="K13" t="s">
        <v>24</v>
      </c>
      <c r="L13" t="s">
        <v>25</v>
      </c>
      <c r="M13">
        <v>160000</v>
      </c>
      <c r="N13">
        <v>0</v>
      </c>
      <c r="O13">
        <v>0</v>
      </c>
      <c r="P13">
        <v>160000</v>
      </c>
      <c r="Q13">
        <v>0</v>
      </c>
      <c r="R13">
        <v>0</v>
      </c>
      <c r="S13">
        <v>53.352530000000002</v>
      </c>
      <c r="T13">
        <v>-2.74675</v>
      </c>
      <c r="U13" s="2">
        <f>(N13*Sheet2!B$2+O13*Sheet2!C$2+P13*Sheet2!D$2+Q13*Sheet2!E$2+R13*Sheet2!F$2)/SUM(N13:R13)</f>
        <v>5</v>
      </c>
      <c r="V13" s="2">
        <v>0.9</v>
      </c>
      <c r="W13" s="2">
        <f t="shared" si="0"/>
        <v>14400</v>
      </c>
    </row>
    <row r="14" spans="1:23" x14ac:dyDescent="0.3">
      <c r="A14" t="s">
        <v>26</v>
      </c>
      <c r="B14" t="s">
        <v>76</v>
      </c>
      <c r="C14" t="s">
        <v>77</v>
      </c>
      <c r="D14" t="s">
        <v>78</v>
      </c>
      <c r="E14" t="s">
        <v>79</v>
      </c>
      <c r="F14">
        <v>3000</v>
      </c>
      <c r="G14">
        <v>358</v>
      </c>
      <c r="H14" t="s">
        <v>22</v>
      </c>
      <c r="I14" t="s">
        <v>23</v>
      </c>
      <c r="J14">
        <v>2022</v>
      </c>
      <c r="K14" t="s">
        <v>24</v>
      </c>
      <c r="L14" t="s">
        <v>80</v>
      </c>
      <c r="M14">
        <v>190000</v>
      </c>
      <c r="N14">
        <v>0</v>
      </c>
      <c r="O14">
        <v>0</v>
      </c>
      <c r="P14">
        <v>0</v>
      </c>
      <c r="Q14">
        <v>0</v>
      </c>
      <c r="R14">
        <v>190000</v>
      </c>
      <c r="S14">
        <v>57.370074899999999</v>
      </c>
      <c r="T14">
        <v>-2.0519264285714289</v>
      </c>
      <c r="U14" s="2">
        <f>(N14*Sheet2!B$2+O14*Sheet2!C$2+P14*Sheet2!D$2+Q14*Sheet2!E$2+R14*Sheet2!F$2)/SUM(N14:R14)</f>
        <v>40</v>
      </c>
      <c r="V14" s="2">
        <v>0.9</v>
      </c>
      <c r="W14" s="2">
        <f t="shared" si="0"/>
        <v>17100</v>
      </c>
    </row>
    <row r="15" spans="1:23" x14ac:dyDescent="0.3">
      <c r="A15" t="s">
        <v>47</v>
      </c>
      <c r="B15" t="s">
        <v>81</v>
      </c>
      <c r="C15" t="s">
        <v>82</v>
      </c>
      <c r="D15" t="s">
        <v>83</v>
      </c>
      <c r="E15" t="s">
        <v>84</v>
      </c>
      <c r="F15">
        <v>1560</v>
      </c>
      <c r="G15">
        <v>1000</v>
      </c>
      <c r="H15" t="s">
        <v>22</v>
      </c>
      <c r="I15" t="s">
        <v>23</v>
      </c>
      <c r="J15">
        <v>2023</v>
      </c>
      <c r="K15" t="s">
        <v>24</v>
      </c>
      <c r="L15" t="s">
        <v>85</v>
      </c>
      <c r="M15">
        <v>129000</v>
      </c>
      <c r="N15">
        <v>13250</v>
      </c>
      <c r="O15">
        <v>20000</v>
      </c>
      <c r="P15">
        <v>90950</v>
      </c>
      <c r="Q15">
        <v>0</v>
      </c>
      <c r="R15">
        <v>4800</v>
      </c>
      <c r="S15">
        <v>52.525740266666674</v>
      </c>
      <c r="T15">
        <v>0.9914550333333334</v>
      </c>
      <c r="U15" s="2">
        <f>(N15*Sheet2!B$2+O15*Sheet2!C$2+P15*Sheet2!D$2+Q15*Sheet2!E$2+R15*Sheet2!F$2)/SUM(N15:R15)</f>
        <v>24.131782945736433</v>
      </c>
      <c r="V15" s="2">
        <v>0.9</v>
      </c>
      <c r="W15" s="2">
        <f t="shared" si="0"/>
        <v>11610</v>
      </c>
    </row>
    <row r="16" spans="1:23" x14ac:dyDescent="0.3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>
        <v>3600</v>
      </c>
      <c r="G16">
        <v>0</v>
      </c>
      <c r="H16" t="s">
        <v>22</v>
      </c>
      <c r="I16" t="s">
        <v>23</v>
      </c>
      <c r="J16">
        <v>2010</v>
      </c>
      <c r="K16" t="s">
        <v>24</v>
      </c>
      <c r="L16" t="s">
        <v>91</v>
      </c>
      <c r="M16">
        <v>120000</v>
      </c>
      <c r="N16">
        <v>0</v>
      </c>
      <c r="O16">
        <v>0</v>
      </c>
      <c r="P16">
        <v>120000</v>
      </c>
      <c r="Q16">
        <v>0</v>
      </c>
      <c r="R16">
        <v>0</v>
      </c>
      <c r="S16">
        <v>52.040280000000003</v>
      </c>
      <c r="T16">
        <v>-1.77434</v>
      </c>
      <c r="U16" s="2">
        <f>(N16*Sheet2!B$2+O16*Sheet2!C$2+P16*Sheet2!D$2+Q16*Sheet2!E$2+R16*Sheet2!F$2)/SUM(N16:R16)</f>
        <v>5</v>
      </c>
      <c r="V16" s="2">
        <v>0.9</v>
      </c>
      <c r="W16" s="2">
        <f t="shared" si="0"/>
        <v>10800</v>
      </c>
    </row>
    <row r="17" spans="1:23" x14ac:dyDescent="0.3">
      <c r="A17" t="s">
        <v>40</v>
      </c>
      <c r="B17" t="s">
        <v>41</v>
      </c>
      <c r="C17" t="s">
        <v>92</v>
      </c>
      <c r="D17" t="s">
        <v>93</v>
      </c>
      <c r="E17" t="s">
        <v>94</v>
      </c>
      <c r="F17">
        <v>6250</v>
      </c>
      <c r="G17">
        <v>495</v>
      </c>
      <c r="H17" t="s">
        <v>22</v>
      </c>
      <c r="I17" t="s">
        <v>23</v>
      </c>
      <c r="J17">
        <v>2015</v>
      </c>
      <c r="K17" t="s">
        <v>24</v>
      </c>
      <c r="L17" t="s">
        <v>95</v>
      </c>
      <c r="M17">
        <v>120000</v>
      </c>
      <c r="N17">
        <v>48000</v>
      </c>
      <c r="O17">
        <v>0</v>
      </c>
      <c r="P17">
        <v>60000</v>
      </c>
      <c r="Q17">
        <v>0</v>
      </c>
      <c r="R17">
        <v>12000</v>
      </c>
      <c r="S17">
        <v>54.600470000000001</v>
      </c>
      <c r="T17">
        <v>-1.16042</v>
      </c>
      <c r="U17" s="2">
        <f>(N17*Sheet2!B$2+O17*Sheet2!C$2+P17*Sheet2!D$2+Q17*Sheet2!E$2+R17*Sheet2!F$2)/SUM(N17:R17)</f>
        <v>8.5</v>
      </c>
      <c r="V17" s="2">
        <v>0.9</v>
      </c>
      <c r="W17" s="2">
        <f t="shared" si="0"/>
        <v>10800</v>
      </c>
    </row>
    <row r="18" spans="1:23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>
        <v>3000</v>
      </c>
      <c r="G18">
        <v>894</v>
      </c>
      <c r="H18" t="s">
        <v>45</v>
      </c>
      <c r="I18" t="s">
        <v>23</v>
      </c>
      <c r="J18">
        <v>2016</v>
      </c>
      <c r="K18" t="s">
        <v>101</v>
      </c>
      <c r="L18" t="s">
        <v>102</v>
      </c>
      <c r="M18">
        <v>200000</v>
      </c>
      <c r="N18">
        <v>200000</v>
      </c>
      <c r="O18">
        <v>0</v>
      </c>
      <c r="P18">
        <v>0</v>
      </c>
      <c r="Q18">
        <v>0</v>
      </c>
      <c r="R18">
        <v>0</v>
      </c>
      <c r="S18">
        <v>54.8348339</v>
      </c>
      <c r="T18">
        <v>-6.1985886999999904</v>
      </c>
      <c r="U18" s="2">
        <f>(N18*Sheet2!B$2+O18*Sheet2!C$2+P18*Sheet2!D$2+Q18*Sheet2!E$2+R18*Sheet2!F$2)/SUM(N18:R18)</f>
        <v>5</v>
      </c>
      <c r="V18" s="2">
        <v>0.9</v>
      </c>
      <c r="W18" s="2">
        <f t="shared" si="0"/>
        <v>18000</v>
      </c>
    </row>
    <row r="19" spans="1:23" x14ac:dyDescent="0.3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>
        <v>1560</v>
      </c>
      <c r="G19">
        <v>660</v>
      </c>
      <c r="H19" t="s">
        <v>22</v>
      </c>
      <c r="I19" t="s">
        <v>23</v>
      </c>
      <c r="J19">
        <v>2013</v>
      </c>
      <c r="K19" t="s">
        <v>24</v>
      </c>
      <c r="L19" t="s">
        <v>25</v>
      </c>
      <c r="M19">
        <v>115000</v>
      </c>
      <c r="N19">
        <v>0</v>
      </c>
      <c r="O19">
        <v>0</v>
      </c>
      <c r="P19">
        <v>115000</v>
      </c>
      <c r="Q19">
        <v>0</v>
      </c>
      <c r="R19">
        <v>0</v>
      </c>
      <c r="S19">
        <v>54.605359999999997</v>
      </c>
      <c r="T19">
        <v>-1.5803499999999999</v>
      </c>
      <c r="U19" s="2">
        <f>(N19*Sheet2!B$2+O19*Sheet2!C$2+P19*Sheet2!D$2+Q19*Sheet2!E$2+R19*Sheet2!F$2)/SUM(N19:R19)</f>
        <v>5</v>
      </c>
      <c r="V19" s="2">
        <v>0.9</v>
      </c>
      <c r="W19" s="2">
        <f t="shared" si="0"/>
        <v>10350</v>
      </c>
    </row>
    <row r="20" spans="1:23" x14ac:dyDescent="0.3">
      <c r="A20" t="s">
        <v>86</v>
      </c>
      <c r="B20" t="s">
        <v>108</v>
      </c>
      <c r="C20" t="s">
        <v>109</v>
      </c>
      <c r="D20" t="s">
        <v>110</v>
      </c>
      <c r="E20" t="s">
        <v>111</v>
      </c>
      <c r="F20">
        <v>1300</v>
      </c>
      <c r="G20">
        <v>1000</v>
      </c>
      <c r="H20" t="s">
        <v>22</v>
      </c>
      <c r="I20" t="s">
        <v>23</v>
      </c>
      <c r="J20">
        <v>2015</v>
      </c>
      <c r="K20" t="s">
        <v>24</v>
      </c>
      <c r="L20" t="s">
        <v>112</v>
      </c>
      <c r="M20">
        <v>120000</v>
      </c>
      <c r="N20">
        <v>0</v>
      </c>
      <c r="O20">
        <v>45000</v>
      </c>
      <c r="P20">
        <v>0</v>
      </c>
      <c r="Q20">
        <v>0</v>
      </c>
      <c r="R20">
        <v>75000</v>
      </c>
      <c r="S20">
        <v>50.891500000000001</v>
      </c>
      <c r="T20">
        <v>-3.38002</v>
      </c>
      <c r="U20" s="2">
        <f>(N20*Sheet2!B$2+O20*Sheet2!C$2+P20*Sheet2!D$2+Q20*Sheet2!E$2+R20*Sheet2!F$2)/SUM(N20:R20)</f>
        <v>70</v>
      </c>
      <c r="V20" s="2">
        <v>0.9</v>
      </c>
      <c r="W20" s="2">
        <f t="shared" si="0"/>
        <v>10800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D7E0-AD3A-4C83-A21A-4ED1EC054811}">
  <dimension ref="A1:F2"/>
  <sheetViews>
    <sheetView workbookViewId="0">
      <selection activeCell="D12" sqref="D12"/>
    </sheetView>
  </sheetViews>
  <sheetFormatPr defaultRowHeight="14.4" x14ac:dyDescent="0.3"/>
  <sheetData>
    <row r="1" spans="1:6" ht="15" thickBot="1" x14ac:dyDescent="0.35">
      <c r="A1" s="4"/>
      <c r="B1" s="5" t="s">
        <v>119</v>
      </c>
      <c r="C1" s="5" t="s">
        <v>120</v>
      </c>
      <c r="D1" s="5" t="s">
        <v>121</v>
      </c>
      <c r="E1" s="5" t="s">
        <v>122</v>
      </c>
      <c r="F1" s="5" t="s">
        <v>123</v>
      </c>
    </row>
    <row r="2" spans="1:6" ht="15" thickBot="1" x14ac:dyDescent="0.35">
      <c r="A2" s="6" t="s">
        <v>124</v>
      </c>
      <c r="B2" s="7">
        <v>5</v>
      </c>
      <c r="C2" s="8">
        <v>120</v>
      </c>
      <c r="D2" s="8">
        <v>5</v>
      </c>
      <c r="E2" s="8">
        <v>60</v>
      </c>
      <c r="F2" s="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2024-08-20T15:00:51Z</dcterms:created>
  <dcterms:modified xsi:type="dcterms:W3CDTF">2024-08-29T10:23:47Z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2024-08-20T15:00:58Z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7cb936fb-0fc5-4959-b751-8ba5e15a0394</vt:lpwstr>
  </property>
  <property fmtid="{D5CDD505-2E9C-101B-9397-08002B2CF9AE}" pid="8" name="MSIP_Label_f49efa9f-42fe-4312-9503-c89a219c0830_ContentBits">
    <vt:lpwstr>2</vt:lpwstr>
  </property>
</Properties>
</file>