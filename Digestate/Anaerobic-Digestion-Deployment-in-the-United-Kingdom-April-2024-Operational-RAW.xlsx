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updateLinks="never" defaultThemeVersion="124226"/>
  <mc:AlternateContent xmlns:mc="http://schemas.openxmlformats.org/markup-compatibility/2006">
    <mc:Choice Requires="x15">
      <x15ac:absPath xmlns:x15ac="http://schemas.microsoft.com/office/spreadsheetml/2010/11/ac" url="C:\Users\TheaAllary\Downloads\"/>
    </mc:Choice>
  </mc:AlternateContent>
  <xr:revisionPtr revIDLastSave="0" documentId="13_ncr:1_{4F65F86B-2117-4C81-AD1A-5B859F9906BD}" xr6:coauthVersionLast="47" xr6:coauthVersionMax="47" xr10:uidLastSave="{00000000-0000-0000-0000-000000000000}"/>
  <bookViews>
    <workbookView xWindow="-110" yWindow="-110" windowWidth="19420" windowHeight="11020" activeTab="1" xr2:uid="{00000000-000D-0000-FFFF-FFFF00000000}"/>
  </bookViews>
  <sheets>
    <sheet name="Introduction" sheetId="3" r:id="rId1"/>
    <sheet name="Sites" sheetId="1" r:id="rId2"/>
  </sheets>
  <externalReferences>
    <externalReference r:id="rId3"/>
    <externalReference r:id="rId4"/>
  </externalReferences>
  <definedNames>
    <definedName name="_xlnm._FilterDatabase" localSheetId="1" hidden="1">Sites!$A$4:$R$4</definedName>
    <definedName name="Biogas_capacity">Sites[Biomethane capacity (Nm3/hr biomethane)]</definedName>
    <definedName name="Capacity__kWe">Sites[Capacity (kWe)]</definedName>
    <definedName name="Commissioned">'[1]REPD extract'!$AY$8:$AY$50000</definedName>
    <definedName name="Crop">Sites[Crop (tpa)]</definedName>
    <definedName name="Crop_Waste">Sites[Crop Waste (tpa)]</definedName>
    <definedName name="Development_Status">'[1]REPD extract'!$S$8:$S$50000</definedName>
    <definedName name="Food_Waste">Sites[Food Waste (tpa)]</definedName>
    <definedName name="Installed_Capacity">'[1]REPD extract'!$I$8:$I$50000</definedName>
    <definedName name="Manure__Slurry">Sites[Manure/ Slurry (tpa)]</definedName>
    <definedName name="Operator">'[2]REPD extract'!$F$8:$F$50000</definedName>
    <definedName name="Other_Waste">Sites[Other Waste (tpa)]</definedName>
    <definedName name="Planning_Application_Reference">'[1]REPD extract'!$AE$8:$AE$50000</definedName>
    <definedName name="Planning_Application_Submitted">'[1]REPD extract'!$AL$8:$AL$50000</definedName>
    <definedName name="Planning_Permission_Granted">'[1]REPD extract'!$AS$8:$AS$50000</definedName>
    <definedName name="Site_Name">'[2]REPD extract'!$G$8:$G$50000</definedName>
    <definedName name="Total_feedstock">Sites[Total feedstock (tpa)]</definedName>
    <definedName name="Under_Construction">'[1]REPD extract'!$AX$8:$AX$50000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5" i="1" l="1"/>
  <c r="G635" i="1"/>
  <c r="M635" i="1" l="1"/>
  <c r="N635" i="1"/>
  <c r="O635" i="1"/>
  <c r="P635" i="1"/>
  <c r="Q635" i="1"/>
  <c r="R635" i="1"/>
  <c r="G2" i="1" l="1"/>
</calcChain>
</file>

<file path=xl/sharedStrings.xml><?xml version="1.0" encoding="utf-8"?>
<sst xmlns="http://schemas.openxmlformats.org/spreadsheetml/2006/main" count="5743" uniqueCount="2186">
  <si>
    <t>To protect this database from replication, data provided is locked and can neither be edited nor selected. However, users remain able to sort and filter the database and can add additional rows and columns if so required. Should users require additional functionality please contact the NNFCC directly using the details below. Requests will be assessed on a case-by-case basis.</t>
  </si>
  <si>
    <t>Disclaimer</t>
  </si>
  <si>
    <t>While NNFCC considers that the data in this database is sound, it can only be considered as accurate as the resources utilised for its development and all parties must rely on their own skill and judgement when making use of it.</t>
  </si>
  <si>
    <t>This database is intended for the sole use of the purchaser and the information contained herein should not be reproduced or redistributed in any way for use by third parties without permissions from the NNFCC.</t>
  </si>
  <si>
    <t>NNFCC, Biocentre,</t>
  </si>
  <si>
    <t>York Science Park,</t>
  </si>
  <si>
    <t>Innovation Way,</t>
  </si>
  <si>
    <t>E: enquiries@nnfcc.co.uk</t>
  </si>
  <si>
    <t>Heslington, York,</t>
  </si>
  <si>
    <t>Web: www.nnfcc.co.uk</t>
  </si>
  <si>
    <t>YO10 5NY.</t>
  </si>
  <si>
    <t>Plant number subtotal</t>
  </si>
  <si>
    <t>Region</t>
  </si>
  <si>
    <t>County</t>
  </si>
  <si>
    <t>Developer</t>
  </si>
  <si>
    <t>Site name</t>
  </si>
  <si>
    <t>Postcode</t>
  </si>
  <si>
    <t>Capacity (kWe)</t>
  </si>
  <si>
    <t>Biomethane capacity (Nm3/hr biomethane)</t>
  </si>
  <si>
    <t>Output</t>
  </si>
  <si>
    <t>Status</t>
  </si>
  <si>
    <t>Completion</t>
  </si>
  <si>
    <t>Type</t>
  </si>
  <si>
    <t>Feedstock</t>
  </si>
  <si>
    <t>Total feedstock (tpa)</t>
  </si>
  <si>
    <t>Manure/ Slurry (tpa)</t>
  </si>
  <si>
    <t>Crop (tpa)</t>
  </si>
  <si>
    <t>Food Waste (tpa)</t>
  </si>
  <si>
    <t>Crop Waste (tpa)</t>
  </si>
  <si>
    <t>Other Waste (tpa)</t>
  </si>
  <si>
    <t>SC</t>
  </si>
  <si>
    <t>Eastern Scotland</t>
  </si>
  <si>
    <t>2 Sisters Food Group</t>
  </si>
  <si>
    <t>CHP</t>
  </si>
  <si>
    <t>Farm-fed</t>
  </si>
  <si>
    <t>EM</t>
  </si>
  <si>
    <t>Lincolnshire</t>
  </si>
  <si>
    <t>Unknown</t>
  </si>
  <si>
    <t>WM</t>
  </si>
  <si>
    <t>Shropshire</t>
  </si>
  <si>
    <t>Abbotsmoor Farm</t>
  </si>
  <si>
    <t>SY11 4HF</t>
  </si>
  <si>
    <t>Operational</t>
  </si>
  <si>
    <t>Energy crops &amp; animal manures</t>
  </si>
  <si>
    <t>NI</t>
  </si>
  <si>
    <t>West &amp; South of Northern Ireland</t>
  </si>
  <si>
    <t>BT75 0SX</t>
  </si>
  <si>
    <t>Waste-fed</t>
  </si>
  <si>
    <t>EE</t>
  </si>
  <si>
    <t>Suffolk</t>
  </si>
  <si>
    <t>Adnams Bio Energy</t>
  </si>
  <si>
    <t>IP18 6JW</t>
  </si>
  <si>
    <t>BtG &amp; CHP</t>
  </si>
  <si>
    <t>Food waste &amp; brewery waste</t>
  </si>
  <si>
    <t>East of Northern Ireland</t>
  </si>
  <si>
    <t>Agri-Food and Bioscience Institute</t>
  </si>
  <si>
    <t>AFBI Large Park</t>
  </si>
  <si>
    <t>BT26 6DR</t>
  </si>
  <si>
    <t>Cattle slurry</t>
  </si>
  <si>
    <t>D Uprichard</t>
  </si>
  <si>
    <t>Aghalee Road AD</t>
  </si>
  <si>
    <t>Grass silage &amp; animal slurries</t>
  </si>
  <si>
    <t>Crop silage &amp; animal slurries</t>
  </si>
  <si>
    <t>SW</t>
  </si>
  <si>
    <t>Gloucestershire</t>
  </si>
  <si>
    <t>Energy crops &amp; animal manure</t>
  </si>
  <si>
    <t>Belfast &amp; Outer Belfast</t>
  </si>
  <si>
    <t>Williams Industrial Service (WIS)</t>
  </si>
  <si>
    <t>Airport Road West</t>
  </si>
  <si>
    <t>BT3 9ED</t>
  </si>
  <si>
    <t>Distillery wastes &amp; animal manure</t>
  </si>
  <si>
    <t>Cambridgeshire</t>
  </si>
  <si>
    <t>Alan Bartlett &amp; Sons</t>
  </si>
  <si>
    <t>PE16 6EG</t>
  </si>
  <si>
    <t>Vegetable outgrades</t>
  </si>
  <si>
    <t>Essex</t>
  </si>
  <si>
    <t>Fullcircle Energy</t>
  </si>
  <si>
    <t>Allen's Farm</t>
  </si>
  <si>
    <t>CO7 7BB</t>
  </si>
  <si>
    <t>Maize Silage</t>
  </si>
  <si>
    <t>South Western Scotland</t>
  </si>
  <si>
    <t>Wyseby Hill Ltd</t>
  </si>
  <si>
    <t>Allerbeck Farm</t>
  </si>
  <si>
    <t>DG11 3LU</t>
  </si>
  <si>
    <t>Pig &amp; Cattle Manure, used livestock bedding &amp; silage</t>
  </si>
  <si>
    <t>YH</t>
  </si>
  <si>
    <t>North Yorkshire</t>
  </si>
  <si>
    <t>AmeyCespa</t>
  </si>
  <si>
    <t>Allerton Waste Recovery Park</t>
  </si>
  <si>
    <t>HG5 0SD</t>
  </si>
  <si>
    <t>Organic fraction of MSW</t>
  </si>
  <si>
    <t>SE</t>
  </si>
  <si>
    <t>Hampshire</t>
  </si>
  <si>
    <t>-</t>
  </si>
  <si>
    <t>NW</t>
  </si>
  <si>
    <t>Lancashire</t>
  </si>
  <si>
    <t>Bygen</t>
  </si>
  <si>
    <t>Angel Wells Farm</t>
  </si>
  <si>
    <t>NG33 4SW</t>
  </si>
  <si>
    <t>Food waste (commercial) &amp; poultry manure</t>
  </si>
  <si>
    <t>WA</t>
  </si>
  <si>
    <t>West Wales &amp; The Valleys</t>
  </si>
  <si>
    <t>Anglesey Ecoparc Mon</t>
  </si>
  <si>
    <t>Anglesey Ecoparc</t>
  </si>
  <si>
    <t>LL65 4RJ</t>
  </si>
  <si>
    <t>Food waste, animal processing waste &amp; slurry</t>
  </si>
  <si>
    <t>North of Northern Ireland</t>
  </si>
  <si>
    <t>M Taylor</t>
  </si>
  <si>
    <t>Annaghmore Road AD</t>
  </si>
  <si>
    <t>BT45 8DU</t>
  </si>
  <si>
    <t>Energy crops &amp; animal slurries</t>
  </si>
  <si>
    <t>Caledon Estates Company</t>
  </si>
  <si>
    <t>Annaghroe Road AD</t>
  </si>
  <si>
    <t>BT68 4UJ</t>
  </si>
  <si>
    <t>Cattle manure &amp; energy crops</t>
  </si>
  <si>
    <t>GtG Biogas</t>
  </si>
  <si>
    <t>Ardagh Road AD</t>
  </si>
  <si>
    <t>Grass silage, maize silage &amp; pig slurry</t>
  </si>
  <si>
    <t>East Wales</t>
  </si>
  <si>
    <t>R Hughes</t>
  </si>
  <si>
    <t>Argoed Farm</t>
  </si>
  <si>
    <t>SY17 5QT</t>
  </si>
  <si>
    <t>Cattle slurry, poultry litter, maize silage &amp; fodder beet</t>
  </si>
  <si>
    <t>Cumbria</t>
  </si>
  <si>
    <t>Mssrs R Miller Ltd</t>
  </si>
  <si>
    <t>Arkleby Mill</t>
  </si>
  <si>
    <t>CA7 2BG</t>
  </si>
  <si>
    <t>Crop silage</t>
  </si>
  <si>
    <t>Buckinghamshire</t>
  </si>
  <si>
    <t>Arla Foods</t>
  </si>
  <si>
    <t>Arla Foods (Dairy waste)</t>
  </si>
  <si>
    <t>HP22 5WJ</t>
  </si>
  <si>
    <t>Dairy effluent</t>
  </si>
  <si>
    <t>Commercial food waste</t>
  </si>
  <si>
    <t>Dorset</t>
  </si>
  <si>
    <t>Gaunts Estate</t>
  </si>
  <si>
    <t>Ashton Farmhouse AD</t>
  </si>
  <si>
    <t>BH21 4JD</t>
  </si>
  <si>
    <t>Animal manure &amp; energy crops</t>
  </si>
  <si>
    <t>Lake District Biogas</t>
  </si>
  <si>
    <t>Aspatria Creamery</t>
  </si>
  <si>
    <t>CA7 2AR</t>
  </si>
  <si>
    <t>Dairy effluent &amp; whey permeate</t>
  </si>
  <si>
    <t>Cheshire</t>
  </si>
  <si>
    <t>MJ &amp; MC Thomasson</t>
  </si>
  <si>
    <t>Aston Lower Hall Farm</t>
  </si>
  <si>
    <t>CW5 6DS</t>
  </si>
  <si>
    <t>Cattle slurry &amp; waste cattle feed</t>
  </si>
  <si>
    <t>Warwickshire</t>
  </si>
  <si>
    <t>BiogenGreenfinch</t>
  </si>
  <si>
    <t>Atherstone</t>
  </si>
  <si>
    <t>CV9 2HG</t>
  </si>
  <si>
    <t>Food waste</t>
  </si>
  <si>
    <t>Auchencheyne Ltd</t>
  </si>
  <si>
    <t>Auchencheyne AD</t>
  </si>
  <si>
    <t>DG7 3SG</t>
  </si>
  <si>
    <t>Slurry, silage</t>
  </si>
  <si>
    <t>Morrison Bowmore Distillers</t>
  </si>
  <si>
    <t>Auchentoshan Distillery</t>
  </si>
  <si>
    <t>G81 4SJ</t>
  </si>
  <si>
    <t>Brewery effluent</t>
  </si>
  <si>
    <t>Grass silage &amp; cattle slurry</t>
  </si>
  <si>
    <t>Willam Corbett Farms</t>
  </si>
  <si>
    <t>Austrey House Farm</t>
  </si>
  <si>
    <t>CV9 3EA</t>
  </si>
  <si>
    <t>Forage crops</t>
  </si>
  <si>
    <t>R Boggs</t>
  </si>
  <si>
    <t>BT47 3JR</t>
  </si>
  <si>
    <t>Bagley Biogas</t>
  </si>
  <si>
    <t>SY12 9BY</t>
  </si>
  <si>
    <t>Maize, poultry litter, fodder beet &amp; farm yard manure</t>
  </si>
  <si>
    <t>Herefordshire</t>
  </si>
  <si>
    <t>Animal manure &amp; maize silage</t>
  </si>
  <si>
    <t>Crop silage &amp; cattle slurry</t>
  </si>
  <si>
    <t>Amber Green</t>
  </si>
  <si>
    <t>J Mathers</t>
  </si>
  <si>
    <t>Ballygowan Road AD</t>
  </si>
  <si>
    <t>BT32 3QS</t>
  </si>
  <si>
    <t>Paunch, grass silage &amp; cattle slurry</t>
  </si>
  <si>
    <t>Animal slurry &amp; energy crops</t>
  </si>
  <si>
    <t>Ballyrashane Co-Op Agricultural And Dairy Society Ltd</t>
  </si>
  <si>
    <t>Ballyrashane AD</t>
  </si>
  <si>
    <t>BT52 2NE</t>
  </si>
  <si>
    <t>Cattle manure, maize silage &amp; dairy waste</t>
  </si>
  <si>
    <t>Ballytyrone Nurseries Ltd</t>
  </si>
  <si>
    <t>Ballytyrone Nurseries AD</t>
  </si>
  <si>
    <t>BT61 8QA</t>
  </si>
  <si>
    <t>Vegetable waste</t>
  </si>
  <si>
    <t>JF Lascelles</t>
  </si>
  <si>
    <t>Balmachie Farm AD</t>
  </si>
  <si>
    <t>DD7 6LB</t>
  </si>
  <si>
    <t>Slurry/manure</t>
  </si>
  <si>
    <t>Mathers Dairy Utensils</t>
  </si>
  <si>
    <t>Balmangan Farm</t>
  </si>
  <si>
    <t>DG6 4QP</t>
  </si>
  <si>
    <t>Highlands &amp; Islands</t>
  </si>
  <si>
    <t>Inver House Distillers</t>
  </si>
  <si>
    <t>Balmenach Distillery</t>
  </si>
  <si>
    <t>PH26 3PF</t>
  </si>
  <si>
    <t>Distillery wastes</t>
  </si>
  <si>
    <t>Baltier Farm</t>
  </si>
  <si>
    <t>DG8 8HA</t>
  </si>
  <si>
    <t>Oxfordshire</t>
  </si>
  <si>
    <t>Banbury Sewage Treatment Works</t>
  </si>
  <si>
    <t>OX16 4RZ</t>
  </si>
  <si>
    <t>Cornwall</t>
  </si>
  <si>
    <t xml:space="preserve">Bank Farm </t>
  </si>
  <si>
    <t>SY15 6TQ</t>
  </si>
  <si>
    <t>Cattle slurry, poultry manure &amp; apple pomace</t>
  </si>
  <si>
    <t>South Yorkshire</t>
  </si>
  <si>
    <t>Norfolk</t>
  </si>
  <si>
    <t>Maize</t>
  </si>
  <si>
    <t>Staffordshire</t>
  </si>
  <si>
    <t>Cow slurry</t>
  </si>
  <si>
    <t>BtG</t>
  </si>
  <si>
    <t>SSE</t>
  </si>
  <si>
    <t>Barkip AD</t>
  </si>
  <si>
    <t>KA24 4JJ</t>
  </si>
  <si>
    <t>Energy crops &amp; food waste</t>
  </si>
  <si>
    <t>D E Price</t>
  </si>
  <si>
    <t>Barland Farm AD</t>
  </si>
  <si>
    <t>LD8 2SH</t>
  </si>
  <si>
    <t>Rattlerow Farms</t>
  </si>
  <si>
    <t>Barley Brigg Farm</t>
  </si>
  <si>
    <t>IP21 5NQ</t>
  </si>
  <si>
    <t>Farm yard manures, poultry litter, energy crops, sugar beet pulp &amp; herb residues</t>
  </si>
  <si>
    <t>B Gamble</t>
  </si>
  <si>
    <t>Barnailt Road AD</t>
  </si>
  <si>
    <t>Dairy Energy</t>
  </si>
  <si>
    <t>J Wauchob</t>
  </si>
  <si>
    <t>Baronscourt Estate</t>
  </si>
  <si>
    <t>BT78 4EY</t>
  </si>
  <si>
    <t>R Turner</t>
  </si>
  <si>
    <t>Barr Farm</t>
  </si>
  <si>
    <t>PE11 3BW</t>
  </si>
  <si>
    <t>Poultry litter &amp; maize</t>
  </si>
  <si>
    <t>Evergreen Gas Ltd</t>
  </si>
  <si>
    <t>Barretts Mill Demonstration Project</t>
  </si>
  <si>
    <t>SY8 4AH</t>
  </si>
  <si>
    <t>Animal manures, energy crops &amp; food waste</t>
  </si>
  <si>
    <t>Agrogen</t>
  </si>
  <si>
    <t>Batchacre Hall AD</t>
  </si>
  <si>
    <t>ST20 0PX</t>
  </si>
  <si>
    <t>Maize, grass, beet, straw, manure, rye silage</t>
  </si>
  <si>
    <t>Agrivert</t>
  </si>
  <si>
    <t>Battle Farm</t>
  </si>
  <si>
    <t>OX10 6SL</t>
  </si>
  <si>
    <t>Food waste &amp; crop silage</t>
  </si>
  <si>
    <t>Strutt &amp; Parker Farms</t>
  </si>
  <si>
    <t>Bay Farm</t>
  </si>
  <si>
    <t>IP28 6BS</t>
  </si>
  <si>
    <t>Sugar beet, maize, agricultural residues &amp; animal manures</t>
  </si>
  <si>
    <t>East Riding of Yorkshire</t>
  </si>
  <si>
    <t>R Meadley</t>
  </si>
  <si>
    <t>Beaconfield Farm</t>
  </si>
  <si>
    <t>HU12 0PS</t>
  </si>
  <si>
    <t>Animal slurries &amp; manures</t>
  </si>
  <si>
    <t>Somerset</t>
  </si>
  <si>
    <t>Greener for Life Energy</t>
  </si>
  <si>
    <t>Animal slurries &amp; energy crops</t>
  </si>
  <si>
    <t>Northamptonshire</t>
  </si>
  <si>
    <t>Surrey</t>
  </si>
  <si>
    <t>Viridor</t>
  </si>
  <si>
    <t>Leicestershire</t>
  </si>
  <si>
    <t>Belmont Farms</t>
  </si>
  <si>
    <t>LE14 2QN</t>
  </si>
  <si>
    <t>Grass silage, Maize &amp; whey permeate</t>
  </si>
  <si>
    <t>Energy crops</t>
  </si>
  <si>
    <t>Bingham Energy Ltd</t>
  </si>
  <si>
    <t>Bingham Energy AD</t>
  </si>
  <si>
    <t>BT29 4YR</t>
  </si>
  <si>
    <t>TEG Biogas</t>
  </si>
  <si>
    <t>PH2 9PX</t>
  </si>
  <si>
    <t>Food waste &amp; animal processing wastes</t>
  </si>
  <si>
    <t>Wiltshire</t>
  </si>
  <si>
    <t>Eco Verde Energy</t>
  </si>
  <si>
    <t>Biomethane Castle Eaton</t>
  </si>
  <si>
    <t>SN6 6JX</t>
  </si>
  <si>
    <t>Cattle manure, poultry manure &amp; maize silage</t>
  </si>
  <si>
    <t>Andigestion</t>
  </si>
  <si>
    <t>Bishops Cleeve</t>
  </si>
  <si>
    <t>GL52 7DG</t>
  </si>
  <si>
    <t>W Airey</t>
  </si>
  <si>
    <t>Black Moss Farm</t>
  </si>
  <si>
    <t>PR3 2NY</t>
  </si>
  <si>
    <t>Worcestershire</t>
  </si>
  <si>
    <t>Essential Supply Products</t>
  </si>
  <si>
    <t>Blackmore Park</t>
  </si>
  <si>
    <t>Blackmore Vale Dairies</t>
  </si>
  <si>
    <t>Blackmore Vale Farm</t>
  </si>
  <si>
    <t>SP7 8QD</t>
  </si>
  <si>
    <t>Waste water from dairy plant</t>
  </si>
  <si>
    <t>Material Change</t>
  </si>
  <si>
    <t>NN13 5QD</t>
  </si>
  <si>
    <t>Green waste &amp; maize silage</t>
  </si>
  <si>
    <t>Kent</t>
  </si>
  <si>
    <t>Blaise Biogas Limited</t>
  </si>
  <si>
    <t>Blaise Farm Quarry</t>
  </si>
  <si>
    <t>ME19 4PN</t>
  </si>
  <si>
    <t>New Earth Solutions</t>
  </si>
  <si>
    <t>BH Energy</t>
  </si>
  <si>
    <t>Blakiston Houston</t>
  </si>
  <si>
    <t>BT16 1TS</t>
  </si>
  <si>
    <t>Maize silage, grass silage &amp; animal slurry</t>
  </si>
  <si>
    <t xml:space="preserve">Brewery waste </t>
  </si>
  <si>
    <t>McCulla Ireland</t>
  </si>
  <si>
    <t>Blaris Industrial Estate</t>
  </si>
  <si>
    <t>BT27 5QB</t>
  </si>
  <si>
    <t>Mr R Taylor</t>
  </si>
  <si>
    <t>Blisworth Hill Farm</t>
  </si>
  <si>
    <t>NN7 3DB</t>
  </si>
  <si>
    <t>Grass silage &amp; maize silage</t>
  </si>
  <si>
    <t>OMNI Heat &amp; Power</t>
  </si>
  <si>
    <t>Blue Dial Farm</t>
  </si>
  <si>
    <t>CA15 6PB</t>
  </si>
  <si>
    <t>Cattle Slurry</t>
  </si>
  <si>
    <t xml:space="preserve">Shanks Waste Management </t>
  </si>
  <si>
    <t>Bolton Road Waste Treatment and Renewable Energy Facility</t>
  </si>
  <si>
    <t>S63 5DF</t>
  </si>
  <si>
    <t xml:space="preserve">Bombardier Aerospace </t>
  </si>
  <si>
    <t>Bombardier Aerospace Hawlmark</t>
  </si>
  <si>
    <t>BT23 4AF</t>
  </si>
  <si>
    <t>Commercial and industrial food waste</t>
  </si>
  <si>
    <t>Bombardier, Belfast</t>
  </si>
  <si>
    <t>Containerised biogas produced offsite</t>
  </si>
  <si>
    <t>Bombardier, Dunmurry</t>
  </si>
  <si>
    <t>BT17 9DH</t>
  </si>
  <si>
    <t>Bombardier Aerospace</t>
  </si>
  <si>
    <t>Bombardier, Newtownabbey</t>
  </si>
  <si>
    <t>BT36 6XA</t>
  </si>
  <si>
    <t>North Lincolnshire</t>
  </si>
  <si>
    <t>Biogen</t>
  </si>
  <si>
    <t>DN20 0PJ</t>
  </si>
  <si>
    <t>Iona Capital</t>
  </si>
  <si>
    <t>Malaby Biogas</t>
  </si>
  <si>
    <t>Bore Hill Farm</t>
  </si>
  <si>
    <t>BA12 8BD</t>
  </si>
  <si>
    <t>Food waste &amp; animal by-products</t>
  </si>
  <si>
    <t>AGTEC</t>
  </si>
  <si>
    <t>Cattle slurry &amp; grass silage</t>
  </si>
  <si>
    <t>H &amp; S Roe &amp; Sons Farms Ltd</t>
  </si>
  <si>
    <t>Boundary Enterprise Park</t>
  </si>
  <si>
    <t>LN6 9NQ</t>
  </si>
  <si>
    <t>Maize &amp; sugar beet</t>
  </si>
  <si>
    <t>Ringwood Energy Company Limited</t>
  </si>
  <si>
    <t>Boundary Farm</t>
  </si>
  <si>
    <t>DN37 8LB</t>
  </si>
  <si>
    <t>Manures &amp; energy crops</t>
  </si>
  <si>
    <t>Eco Sustainable Solutions</t>
  </si>
  <si>
    <t>Bourne Park AD</t>
  </si>
  <si>
    <t>DT2 7TU</t>
  </si>
  <si>
    <t>Food waste &amp; pig slurry</t>
  </si>
  <si>
    <t>Mr J Mercer</t>
  </si>
  <si>
    <t>Bowley Court Farm</t>
  </si>
  <si>
    <t>HR6 0PL</t>
  </si>
  <si>
    <t>Maize silage, grass silage, potatoes &amp; cattle slurry</t>
  </si>
  <si>
    <t>Stream Bioenergy</t>
  </si>
  <si>
    <t>Bowtown Road AD</t>
  </si>
  <si>
    <t>BT23 8SL</t>
  </si>
  <si>
    <t>Qila Energy</t>
  </si>
  <si>
    <t>Brae of Pert Farm</t>
  </si>
  <si>
    <t>AB30 1QR</t>
  </si>
  <si>
    <t>Grass silage, wholecrop rye, energy beet &amp; straw</t>
  </si>
  <si>
    <t>JC Channing &amp; Sons</t>
  </si>
  <si>
    <t>Brandon Grange Farm</t>
  </si>
  <si>
    <t>CV8 3GE</t>
  </si>
  <si>
    <t>Maize &amp; manures</t>
  </si>
  <si>
    <t>Branston</t>
  </si>
  <si>
    <t>Branston Potatoes</t>
  </si>
  <si>
    <t>LN4 1NJ</t>
  </si>
  <si>
    <t>Outgrade potatoes</t>
  </si>
  <si>
    <t>Greater Manchester</t>
  </si>
  <si>
    <t>Organic fraction of MSW &amp; C&amp;I waste</t>
  </si>
  <si>
    <t>NE</t>
  </si>
  <si>
    <t>Northumberland</t>
  </si>
  <si>
    <t>Codlaw Renewable Energy Ltd</t>
  </si>
  <si>
    <t>Bridge End Water Treatment Works AD</t>
  </si>
  <si>
    <t>NE46 1HA</t>
  </si>
  <si>
    <t>Food waste &amp; crops</t>
  </si>
  <si>
    <t>West Midlands</t>
  </si>
  <si>
    <t>Clean Power Properties</t>
  </si>
  <si>
    <t>Brigg Lane Biogas AD</t>
  </si>
  <si>
    <t>Devon</t>
  </si>
  <si>
    <t>West Sussex</t>
  </si>
  <si>
    <t>Broadley Copse</t>
  </si>
  <si>
    <t>PO18 9BT</t>
  </si>
  <si>
    <t>Pig manure, dirty water, maize</t>
  </si>
  <si>
    <t>Broadmeadows Farm</t>
  </si>
  <si>
    <t>CA10 1HA</t>
  </si>
  <si>
    <t>N Forsyth &amp; Son</t>
  </si>
  <si>
    <t>Broadwigg Farm</t>
  </si>
  <si>
    <t>DG8 8DN</t>
  </si>
  <si>
    <t>Cattle slurry &amp; poultry manure</t>
  </si>
  <si>
    <t>BioWayste</t>
  </si>
  <si>
    <t>Brocklesbys AD</t>
  </si>
  <si>
    <t>HU15 2PG</t>
  </si>
  <si>
    <t>T Johnson</t>
  </si>
  <si>
    <t>Bromham House Farm</t>
  </si>
  <si>
    <t>SN15 2DX</t>
  </si>
  <si>
    <t>Maize, rye, animal slurries &amp; animal manures</t>
  </si>
  <si>
    <t>Lower Reule Bioenergy</t>
  </si>
  <si>
    <t>Brookfield Farm</t>
  </si>
  <si>
    <t>ST20 0EA</t>
  </si>
  <si>
    <t>Food waste, manure &amp; crops</t>
  </si>
  <si>
    <t>DY9 0DL</t>
  </si>
  <si>
    <t>Biffa</t>
  </si>
  <si>
    <t>Brookhurst Wood</t>
  </si>
  <si>
    <t>RH12 4QD</t>
  </si>
  <si>
    <t>Derbyshire</t>
  </si>
  <si>
    <t>Easom &amp; Sons</t>
  </si>
  <si>
    <t>Broom House Farm</t>
  </si>
  <si>
    <t>DE55 7LL</t>
  </si>
  <si>
    <t>Cattle slurry &amp; energy crops</t>
  </si>
  <si>
    <t>Whitchurch Biogas Ltd</t>
  </si>
  <si>
    <t>Broughall Fields Farm</t>
  </si>
  <si>
    <t>SY13 4DE</t>
  </si>
  <si>
    <t>Grass silage, poultry manure &amp; food manufacturing (cheese) waste</t>
  </si>
  <si>
    <t>Food waste &amp; abattoir waste</t>
  </si>
  <si>
    <t>Bryn Power</t>
  </si>
  <si>
    <t>Bryn Quarry</t>
  </si>
  <si>
    <t>CF82 8FY</t>
  </si>
  <si>
    <t xml:space="preserve">Food waste, animal slurries &amp; energy crops </t>
  </si>
  <si>
    <t>Burdens Environmental</t>
  </si>
  <si>
    <t>Burdens Environmental AD</t>
  </si>
  <si>
    <t>SA19 9LS</t>
  </si>
  <si>
    <t>Nottinghamshire</t>
  </si>
  <si>
    <t>Animal manure &amp; slurries</t>
  </si>
  <si>
    <t>Unilever</t>
  </si>
  <si>
    <t>Burton Marmite Factory AD</t>
  </si>
  <si>
    <t>DE14 2AB</t>
  </si>
  <si>
    <t>Brewery wastewater</t>
  </si>
  <si>
    <t>Messrs T Bedford</t>
  </si>
  <si>
    <t>Bury Lane Farm</t>
  </si>
  <si>
    <t>PE26 2RU</t>
  </si>
  <si>
    <t>Maize &amp; hybrid rye</t>
  </si>
  <si>
    <t xml:space="preserve">British Sugar  </t>
  </si>
  <si>
    <t>Bury St Edmonds sugar factory</t>
  </si>
  <si>
    <t>IP32 7BB</t>
  </si>
  <si>
    <t>Sugar beet processing waste</t>
  </si>
  <si>
    <t>Merseyside</t>
  </si>
  <si>
    <t>Hertfordshire</t>
  </si>
  <si>
    <t>Hallwick Energy</t>
  </si>
  <si>
    <t>Buttermilk Farm</t>
  </si>
  <si>
    <t>SG9 9RH</t>
  </si>
  <si>
    <t>Maize silage</t>
  </si>
  <si>
    <t>CJ Radford and Son</t>
  </si>
  <si>
    <t>Buttermoor Farm</t>
  </si>
  <si>
    <t>EX16 9RH</t>
  </si>
  <si>
    <t>Horseway Energy</t>
  </si>
  <si>
    <t>Byall Fen Drove</t>
  </si>
  <si>
    <t>PE16 6XQ</t>
  </si>
  <si>
    <t>Maize silage, leek outgrades &amp; onion outgrades</t>
  </si>
  <si>
    <t>Bygrave Lodge Farm</t>
  </si>
  <si>
    <t>SG7 6QX</t>
  </si>
  <si>
    <t>Caerfai Farm</t>
  </si>
  <si>
    <t>SA62 6QT</t>
  </si>
  <si>
    <t>Cooking gas</t>
  </si>
  <si>
    <t xml:space="preserve">Cattle slurry &amp; cheese processing waste </t>
  </si>
  <si>
    <t>Diageo</t>
  </si>
  <si>
    <t>Cameron Bridge Distillery</t>
  </si>
  <si>
    <t>KY8 5RL</t>
  </si>
  <si>
    <t>Brewery waste</t>
  </si>
  <si>
    <t>Camieston Renewables Ltd</t>
  </si>
  <si>
    <t>Camieston Farm AD</t>
  </si>
  <si>
    <t>TD6 0HJ</t>
  </si>
  <si>
    <t>Silage and manure</t>
  </si>
  <si>
    <t>LDN</t>
  </si>
  <si>
    <t>Greater London</t>
  </si>
  <si>
    <t>LEAP</t>
  </si>
  <si>
    <t>Camley Street Natural Park AD</t>
  </si>
  <si>
    <t>N1C 4PW</t>
  </si>
  <si>
    <t>Camp Farm</t>
  </si>
  <si>
    <t>NR16 2RX</t>
  </si>
  <si>
    <t>Maize, vegetable outgrades, animal manure &amp; rye</t>
  </si>
  <si>
    <t>Pegasus Group</t>
  </si>
  <si>
    <t>Cannington Enterprises</t>
  </si>
  <si>
    <t>Cannington Cold Stores</t>
  </si>
  <si>
    <t>TA5 2NJ</t>
  </si>
  <si>
    <t>Kelda Organic Energy</t>
  </si>
  <si>
    <t>Cardiff Waste Water Treatment Works (Food waste)</t>
  </si>
  <si>
    <t>CF24 5SB</t>
  </si>
  <si>
    <t>Connex Renewables</t>
  </si>
  <si>
    <t>Carn Industrial Estate</t>
  </si>
  <si>
    <t>BT63 5RF</t>
  </si>
  <si>
    <t>Potato outgrades, grass silage &amp; cattle slurry</t>
  </si>
  <si>
    <t>BT63 5WG</t>
  </si>
  <si>
    <t>Potato peelings, slurry, energy crops</t>
  </si>
  <si>
    <t>Carnmoney Road AD</t>
  </si>
  <si>
    <t>BT47 3JJ</t>
  </si>
  <si>
    <t xml:space="preserve">Carousel Dairy </t>
  </si>
  <si>
    <t>RG23 7LW</t>
  </si>
  <si>
    <t>Food waste &amp; animal slurries</t>
  </si>
  <si>
    <t>Grass &amp; maize silage</t>
  </si>
  <si>
    <t>Advent Biogas</t>
  </si>
  <si>
    <t>Carrick Road AD</t>
  </si>
  <si>
    <t>BT32 3PA</t>
  </si>
  <si>
    <t>Slurry</t>
  </si>
  <si>
    <t>NI Truck Dismantlers</t>
  </si>
  <si>
    <t>Carrickaness Road AD</t>
  </si>
  <si>
    <t>BT71 7NH</t>
  </si>
  <si>
    <t>Silage, animal slurries &amp; poultry litter</t>
  </si>
  <si>
    <t>Beeswax Farming</t>
  </si>
  <si>
    <t>Carrington Farm</t>
  </si>
  <si>
    <t>PE22 7JD</t>
  </si>
  <si>
    <t>Maize silage &amp; grass silage</t>
  </si>
  <si>
    <t>BQ Farming Partnership</t>
  </si>
  <si>
    <t>Carterhaugh Farm</t>
  </si>
  <si>
    <t>TD7 5HE</t>
  </si>
  <si>
    <t>Severn Trent Green Power</t>
  </si>
  <si>
    <t>Cassington AD</t>
  </si>
  <si>
    <t>Castlesteads FMS</t>
  </si>
  <si>
    <t>Castlesteads Farm</t>
  </si>
  <si>
    <t>CA11 9NS</t>
  </si>
  <si>
    <t>Willen Biogas</t>
  </si>
  <si>
    <t>Cattlegate Farm</t>
  </si>
  <si>
    <t>EN2 8AU</t>
  </si>
  <si>
    <t>Muntons</t>
  </si>
  <si>
    <t>Cedars Maltings</t>
  </si>
  <si>
    <t>IP14 2AG</t>
  </si>
  <si>
    <t>M &amp; RS Rogers</t>
  </si>
  <si>
    <t>Cefndderwen AD</t>
  </si>
  <si>
    <t>LL61 6TJ</t>
  </si>
  <si>
    <t>Dairy slurry</t>
  </si>
  <si>
    <t>Rainworth Energy</t>
  </si>
  <si>
    <t>Engie</t>
  </si>
  <si>
    <t>Channel Farm</t>
  </si>
  <si>
    <t>EX34 8PQ</t>
  </si>
  <si>
    <t>Hoddom &amp; Kinmount Estates</t>
  </si>
  <si>
    <t>Charlesfield Farm</t>
  </si>
  <si>
    <t>DG12 5RG</t>
  </si>
  <si>
    <t>Grass silage, maize &amp; animal manures</t>
  </si>
  <si>
    <t>Charlesfield Industrial Estate (2)</t>
  </si>
  <si>
    <t>TD6 0HH</t>
  </si>
  <si>
    <t>Cereal &amp; vegetable crops</t>
  </si>
  <si>
    <t>SITA</t>
  </si>
  <si>
    <t>Charlton Lane Eco Park</t>
  </si>
  <si>
    <t>TW17 8QA</t>
  </si>
  <si>
    <t>Raw Energy</t>
  </si>
  <si>
    <t>Charlton Park Farm</t>
  </si>
  <si>
    <t>SN16 0HT</t>
  </si>
  <si>
    <t>Grass silage, maize silage, rye, slurry &amp; poultry manure</t>
  </si>
  <si>
    <t>NN10 9LU</t>
  </si>
  <si>
    <t>Bedfordshire</t>
  </si>
  <si>
    <t>My Fresh Prepared Produce</t>
  </si>
  <si>
    <t>Chicksands Vegetable Processing Plant</t>
  </si>
  <si>
    <t>SG17 5QB</t>
  </si>
  <si>
    <t>Vegetable waste streams</t>
  </si>
  <si>
    <t>Clandeboye Estate Co Ltd</t>
  </si>
  <si>
    <t>Clandeboye AD</t>
  </si>
  <si>
    <t>BT19 1UR</t>
  </si>
  <si>
    <t>Cattle slurry, manure, silage</t>
  </si>
  <si>
    <t>Clapgate Farm</t>
  </si>
  <si>
    <t>LN9 6QU</t>
  </si>
  <si>
    <t>Wheat straw, duck manure, maize silage, grass silage, oat husks &amp; poultry litter</t>
  </si>
  <si>
    <t>Strathendrick Biogas</t>
  </si>
  <si>
    <t>Claylands Farm</t>
  </si>
  <si>
    <t>G63 0RR</t>
  </si>
  <si>
    <t>Cattle slurry &amp; brewery waste</t>
  </si>
  <si>
    <t>West Yorkshire</t>
  </si>
  <si>
    <t>Clayton Hall Farm</t>
  </si>
  <si>
    <t>HD8 9QE</t>
  </si>
  <si>
    <t>Cattle slurry, maize &amp; bakery waste</t>
  </si>
  <si>
    <t>Cleat Hill Energy</t>
  </si>
  <si>
    <t>Cleat Hill Farm</t>
  </si>
  <si>
    <t>B79 9HB</t>
  </si>
  <si>
    <t>Buddleford Estates</t>
  </si>
  <si>
    <t>Clyst Hydon AD</t>
  </si>
  <si>
    <t>EX15 2NH</t>
  </si>
  <si>
    <t>Straw bedding, cattle manure &amp; vegetable outgrades</t>
  </si>
  <si>
    <t>Cobden Street AD</t>
  </si>
  <si>
    <t>M6 6NA</t>
  </si>
  <si>
    <t>Newcastle University</t>
  </si>
  <si>
    <t>Cockle Park Farm</t>
  </si>
  <si>
    <t>NE61 3EB</t>
  </si>
  <si>
    <t>Slurry &amp; vegetable outgrades</t>
  </si>
  <si>
    <t>JM Stratton &amp; Co</t>
  </si>
  <si>
    <t>Codford Biogas</t>
  </si>
  <si>
    <t>Colburn Grange Ltd</t>
  </si>
  <si>
    <t>Colburn Grange AD</t>
  </si>
  <si>
    <t>DL9 4LR</t>
  </si>
  <si>
    <t>A &amp; E G Heading Ltd</t>
  </si>
  <si>
    <t>Colony Farm AD</t>
  </si>
  <si>
    <t>PE15 0HN</t>
  </si>
  <si>
    <t>Maize, straw, sugar beet pulp</t>
  </si>
  <si>
    <t>Colwick Industrial Estate</t>
  </si>
  <si>
    <t>NG4 2JT</t>
  </si>
  <si>
    <t>A Dickson</t>
  </si>
  <si>
    <t>Comber Road AD</t>
  </si>
  <si>
    <t>BT26 6NA</t>
  </si>
  <si>
    <t>EF Fenteman &amp; Son</t>
  </si>
  <si>
    <t>Commonside Farm AD</t>
  </si>
  <si>
    <t>YO8 8JF</t>
  </si>
  <si>
    <t>TN18 4RW</t>
  </si>
  <si>
    <t>Cattle manure, poultry litter, vegetable waste, maize silage, grass silage, wholecrop rye &amp; wheat straw</t>
  </si>
  <si>
    <t>Durham</t>
  </si>
  <si>
    <t>Calibrate Inc Ltd</t>
  </si>
  <si>
    <t>Consett AD</t>
  </si>
  <si>
    <t>DH8 6TA</t>
  </si>
  <si>
    <t>Silage</t>
  </si>
  <si>
    <t>S Davies</t>
  </si>
  <si>
    <t>Coomb Farm</t>
  </si>
  <si>
    <t>SA33 5HP</t>
  </si>
  <si>
    <t>Cattle slurry &amp; manure</t>
  </si>
  <si>
    <t>JF Temple &amp; Sons</t>
  </si>
  <si>
    <t>Copys Green Farm</t>
  </si>
  <si>
    <t>NR23 1NY</t>
  </si>
  <si>
    <t xml:space="preserve">Cattle slurry, silage &amp; cheese processing waste </t>
  </si>
  <si>
    <t>T Campbell</t>
  </si>
  <si>
    <t>Cornakinnegar Road AD</t>
  </si>
  <si>
    <t>BT67 9JN</t>
  </si>
  <si>
    <t>CorrBoard Bioenergy Ltd</t>
  </si>
  <si>
    <t>DN15 9GE</t>
  </si>
  <si>
    <t>Animal processing waste</t>
  </si>
  <si>
    <t>Corsock Farm</t>
  </si>
  <si>
    <t>DG5 4NR</t>
  </si>
  <si>
    <t>Heat only</t>
  </si>
  <si>
    <t>Cattle manure</t>
  </si>
  <si>
    <t>Coston Hall</t>
  </si>
  <si>
    <t>NR9 4DT</t>
  </si>
  <si>
    <t>Tomkinson Farms</t>
  </si>
  <si>
    <t>Cotton End Farm AD</t>
  </si>
  <si>
    <t>STL Energy</t>
  </si>
  <si>
    <t>Court Farm</t>
  </si>
  <si>
    <t>HR1 4JU</t>
  </si>
  <si>
    <t>Apple pomace, maize &amp; cattle slurry</t>
  </si>
  <si>
    <t>Oncoland Energy Ltd</t>
  </si>
  <si>
    <t>Court Lodge</t>
  </si>
  <si>
    <t>DA4 9DU</t>
  </si>
  <si>
    <t>Maize &amp; grass silage, slurry &amp; manure, processing residues</t>
  </si>
  <si>
    <t>Courtauld Road AD</t>
  </si>
  <si>
    <t>SS13 1DB</t>
  </si>
  <si>
    <t>Cranfield University</t>
  </si>
  <si>
    <t>MK43 0AL</t>
  </si>
  <si>
    <t>Creagh Concrete</t>
  </si>
  <si>
    <t>BT71 5BJ</t>
  </si>
  <si>
    <t>Cattle slurry &amp; crop silage</t>
  </si>
  <si>
    <t>GTG Biogas</t>
  </si>
  <si>
    <t>Cregagh Road Waste Transfer Station</t>
  </si>
  <si>
    <t>BT45 8EY</t>
  </si>
  <si>
    <t>SEAB Energy</t>
  </si>
  <si>
    <t>Croft Farm</t>
  </si>
  <si>
    <t>SO20 8HX</t>
  </si>
  <si>
    <t>Horse manure &amp; bedding straw</t>
  </si>
  <si>
    <t>Crofthead Biogas</t>
  </si>
  <si>
    <t>DG2 8QW</t>
  </si>
  <si>
    <t>Cattle slurry, manures, energy crops and dairy residues</t>
  </si>
  <si>
    <t>Stanton Energy Limited</t>
  </si>
  <si>
    <t>Crompton Road AD</t>
  </si>
  <si>
    <t>DE7 4BG</t>
  </si>
  <si>
    <t>Green waste, maize silage, manure, food waste, used cooking oil</t>
  </si>
  <si>
    <t>Crooklands Farm</t>
  </si>
  <si>
    <t>CA7 3NB</t>
  </si>
  <si>
    <t>B Fox</t>
  </si>
  <si>
    <t>Crossnenagh Road AD</t>
  </si>
  <si>
    <t>BT60 3HW</t>
  </si>
  <si>
    <t>NR17 1AE</t>
  </si>
  <si>
    <t>Shanks</t>
  </si>
  <si>
    <t>Cumbernauld AD</t>
  </si>
  <si>
    <t>G67 3EN</t>
  </si>
  <si>
    <t>W Paul</t>
  </si>
  <si>
    <t>Curragh Road AD</t>
  </si>
  <si>
    <t>BT46 5ER</t>
  </si>
  <si>
    <t>North East Scotland</t>
  </si>
  <si>
    <t>Dailuaine Distillery</t>
  </si>
  <si>
    <t>AB38 7RE</t>
  </si>
  <si>
    <t>Dean Group Business Park AD</t>
  </si>
  <si>
    <t>TS25 2BW</t>
  </si>
  <si>
    <t>Energy crops, animal manures, food waste, animal processing wastes &amp; green waste</t>
  </si>
  <si>
    <t>Arlington Farming</t>
  </si>
  <si>
    <t>Dean Hall Farm</t>
  </si>
  <si>
    <t>NG23 6BB</t>
  </si>
  <si>
    <t>Animal manures, maize silage &amp; energy beet</t>
  </si>
  <si>
    <t>Organic Recycling</t>
  </si>
  <si>
    <t>Decoy Farm</t>
  </si>
  <si>
    <t>PE6 0LX</t>
  </si>
  <si>
    <t>Energy crops &amp; vegetable waste</t>
  </si>
  <si>
    <t>Thames Water Utilities</t>
  </si>
  <si>
    <t>Scottish Water Horizons</t>
  </si>
  <si>
    <t>Deerdykes Composting and Organics Recycling Facility</t>
  </si>
  <si>
    <t>G68 9NB</t>
  </si>
  <si>
    <t>Evergreen Natural Energy</t>
  </si>
  <si>
    <t>Deerpark Road AD</t>
  </si>
  <si>
    <t>BT78 4LB</t>
  </si>
  <si>
    <t>Derby Sewage Treatment AD</t>
  </si>
  <si>
    <t>DE21 7BR</t>
  </si>
  <si>
    <t>Cherry Pipes Ltd</t>
  </si>
  <si>
    <t>Derryhirk Road AD</t>
  </si>
  <si>
    <t>BT71 6NH</t>
  </si>
  <si>
    <t>Dimmer Landfill AD</t>
  </si>
  <si>
    <t>BA7 7NR</t>
  </si>
  <si>
    <t>Unspecified waste</t>
  </si>
  <si>
    <t>Poultry manure &amp; grass silage</t>
  </si>
  <si>
    <t>FLI Energy</t>
  </si>
  <si>
    <t>Dowland Road AD</t>
  </si>
  <si>
    <t>BT49 0HP</t>
  </si>
  <si>
    <t>Crop silage &amp; animal manure</t>
  </si>
  <si>
    <t>Green waste</t>
  </si>
  <si>
    <t>Buchan Biogas</t>
  </si>
  <si>
    <t>Downiehills Farm</t>
  </si>
  <si>
    <t>Grass silage, wheat, food waste &amp; animal slurries</t>
  </si>
  <si>
    <t>Dronley Farming Ltd</t>
  </si>
  <si>
    <t>Dronley Farm AD</t>
  </si>
  <si>
    <t>DD3 0QJ</t>
  </si>
  <si>
    <t>N Wylie</t>
  </si>
  <si>
    <t>Drumflugh Road AD</t>
  </si>
  <si>
    <t>BT71 7QF</t>
  </si>
  <si>
    <t>Animal slurry, poultry litter &amp; energy crops</t>
  </si>
  <si>
    <t>A Taylor/WIS Renewables</t>
  </si>
  <si>
    <t>Drumlee Road AD</t>
  </si>
  <si>
    <t>BT53 7LE</t>
  </si>
  <si>
    <t>Drumslade Road AD</t>
  </si>
  <si>
    <t>BT52 1SE</t>
  </si>
  <si>
    <t>Dryholme Farm</t>
  </si>
  <si>
    <t>CA7 4PZ</t>
  </si>
  <si>
    <t>Maize silage &amp; manure</t>
  </si>
  <si>
    <t>Dunleath Estates Ltd</t>
  </si>
  <si>
    <t>Dunleath Energy</t>
  </si>
  <si>
    <t>BT22 2PA</t>
  </si>
  <si>
    <t>R Pollock</t>
  </si>
  <si>
    <t>Dunnalong Road (2) AD</t>
  </si>
  <si>
    <t>BT82 0DW</t>
  </si>
  <si>
    <t>Bio Group</t>
  </si>
  <si>
    <t>GU6 8TB</t>
  </si>
  <si>
    <t>H2Energy</t>
  </si>
  <si>
    <t>Durranhill Industrial Estate</t>
  </si>
  <si>
    <t>CA1 3NQ</t>
  </si>
  <si>
    <t>PT Baker Farms</t>
  </si>
  <si>
    <t>Eardisley Park Farm</t>
  </si>
  <si>
    <t>HR3 6NT</t>
  </si>
  <si>
    <t>Energy crops &amp; poultry manure</t>
  </si>
  <si>
    <t>Green waste, animal slurry &amp; food waste</t>
  </si>
  <si>
    <t>East Birmingham AD Facility (Coleshill)</t>
  </si>
  <si>
    <t>M Forbes</t>
  </si>
  <si>
    <t>East Denside Farm</t>
  </si>
  <si>
    <t>Pig slurry &amp; maize silage</t>
  </si>
  <si>
    <t>AEL Biogas</t>
  </si>
  <si>
    <t>East Kirkby Airfield</t>
  </si>
  <si>
    <t>Energy crops, vegetable outgrades &amp; pig slurry</t>
  </si>
  <si>
    <t>Iain Service &amp; Co Ltd</t>
  </si>
  <si>
    <t>East Knockbrex AD</t>
  </si>
  <si>
    <t>DG8 6QF</t>
  </si>
  <si>
    <t>RH &amp; DH Allan</t>
  </si>
  <si>
    <t>East Reston Farm AD</t>
  </si>
  <si>
    <t>TD14 5RP</t>
  </si>
  <si>
    <t>Eastleigh Array Energy Recovery Centre</t>
  </si>
  <si>
    <t>SO50 6RQ</t>
  </si>
  <si>
    <t>St Nicholas Court Farms</t>
  </si>
  <si>
    <t>Ebbsfleet Farm</t>
  </si>
  <si>
    <t>CT12 5DL</t>
  </si>
  <si>
    <t>Edge Farm Composting</t>
  </si>
  <si>
    <t>Cranbrook Renewables</t>
  </si>
  <si>
    <t>Edgeworthy Farm</t>
  </si>
  <si>
    <t>EX16 8NL</t>
  </si>
  <si>
    <t>Animal slurries, poultry manure &amp; cattle manure</t>
  </si>
  <si>
    <t>Argent Energy</t>
  </si>
  <si>
    <t>Ellesmere Port Biodiesel Plant</t>
  </si>
  <si>
    <t>CH65 4EY</t>
  </si>
  <si>
    <t>Biodiesel processing waste</t>
  </si>
  <si>
    <t>Ellough AD</t>
  </si>
  <si>
    <t>NR34 7TL</t>
  </si>
  <si>
    <t>Energy crops &amp; sugar beet pulp</t>
  </si>
  <si>
    <t>Spencer Group</t>
  </si>
  <si>
    <t>Energy Works Hull</t>
  </si>
  <si>
    <t>HU8 8AD</t>
  </si>
  <si>
    <t xml:space="preserve">EX5 1AF </t>
  </si>
  <si>
    <t>Pig slurry, chicken litter, maize silage &amp; wheat</t>
  </si>
  <si>
    <t>Erganagh Dairies</t>
  </si>
  <si>
    <t>BT81 7JQ</t>
  </si>
  <si>
    <t>IP24 2QP</t>
  </si>
  <si>
    <t>Adapt Biogas</t>
  </si>
  <si>
    <t>Evercreech Junction</t>
  </si>
  <si>
    <t>Food waste &amp; unspecified agricultural wastes</t>
  </si>
  <si>
    <t>Trade Effluent Services</t>
  </si>
  <si>
    <t>Factory Road AD</t>
  </si>
  <si>
    <t>CH5 2DD</t>
  </si>
  <si>
    <t>C&amp;I food waste</t>
  </si>
  <si>
    <t>Fairfields Farm</t>
  </si>
  <si>
    <t>CO6 3AQ</t>
  </si>
  <si>
    <t>Grass silage, rye &amp; maize</t>
  </si>
  <si>
    <t>Farington Waste Recovery Park</t>
  </si>
  <si>
    <t>PR26 6TB</t>
  </si>
  <si>
    <t>Apsley Energy</t>
  </si>
  <si>
    <t>Faulkners Down Farm</t>
  </si>
  <si>
    <t>SP11 6LZ</t>
  </si>
  <si>
    <t>Maize, wheat &amp; energy beet</t>
  </si>
  <si>
    <t>Fernbrook Bio</t>
  </si>
  <si>
    <t>Fernbrook AD</t>
  </si>
  <si>
    <t>NN16 8XF</t>
  </si>
  <si>
    <t>Little Oak Energy</t>
  </si>
  <si>
    <t>Five Oaks Sawmill</t>
  </si>
  <si>
    <t>RH14 9BD</t>
  </si>
  <si>
    <t>G Reynolds</t>
  </si>
  <si>
    <t>Forest Farm</t>
  </si>
  <si>
    <t>TN17 4LG</t>
  </si>
  <si>
    <t>Cattle slurry, farm yard manure, poultry manure, rye silage, maize &amp; beet</t>
  </si>
  <si>
    <t>Slurry, manure, silage</t>
  </si>
  <si>
    <t>Foster Street AD</t>
  </si>
  <si>
    <t>L20 8EX</t>
  </si>
  <si>
    <t xml:space="preserve">Waste streams from UCO biodiesel production </t>
  </si>
  <si>
    <t>C Apps</t>
  </si>
  <si>
    <t>Four Barns Farm</t>
  </si>
  <si>
    <t>TN29 9QT</t>
  </si>
  <si>
    <t>Polutry manure &amp; ryegrass</t>
  </si>
  <si>
    <t>Foxhills Industrial Estate</t>
  </si>
  <si>
    <t>DN15 8QW</t>
  </si>
  <si>
    <t>Poultry processing waste</t>
  </si>
  <si>
    <t>GC Davies &amp; Co.</t>
  </si>
  <si>
    <t>Foxholes Farm</t>
  </si>
  <si>
    <t>SY4 2LG</t>
  </si>
  <si>
    <t>Fraddon AD</t>
  </si>
  <si>
    <t>TR9 6NL</t>
  </si>
  <si>
    <t>Pig slurry &amp; bakery waste</t>
  </si>
  <si>
    <t>Frog Island AD</t>
  </si>
  <si>
    <t>RM13 8EN</t>
  </si>
  <si>
    <t>TA13 5DJ</t>
  </si>
  <si>
    <t>Poultry manure, dairy waste, farmyard manure, potato waste &amp; energy crops</t>
  </si>
  <si>
    <t>GB Jones Ltd</t>
  </si>
  <si>
    <t>Fron Bella AD</t>
  </si>
  <si>
    <t>LL24 0TE</t>
  </si>
  <si>
    <t>Frost Row Farm Energy</t>
  </si>
  <si>
    <t>Frost Row Farm</t>
  </si>
  <si>
    <t>NR9 4NW</t>
  </si>
  <si>
    <t>EJ Badman &amp; Son Ltd</t>
  </si>
  <si>
    <t>Garden End Farm</t>
  </si>
  <si>
    <t>BA5 1PN</t>
  </si>
  <si>
    <t>Garth Road AD</t>
  </si>
  <si>
    <t>CH65 4ET</t>
  </si>
  <si>
    <t>BT70 3LS</t>
  </si>
  <si>
    <t>R McKeown</t>
  </si>
  <si>
    <t>Grass silage, poultry manure &amp; cattle slurry</t>
  </si>
  <si>
    <t>J Rennie &amp; Son</t>
  </si>
  <si>
    <t>Gask Farm</t>
  </si>
  <si>
    <t>AB53 8BP</t>
  </si>
  <si>
    <t>Pig slurry &amp; animal processing wastes</t>
  </si>
  <si>
    <t>Gaunts House AD</t>
  </si>
  <si>
    <t>BH21 4JQ</t>
  </si>
  <si>
    <t>Ryegrass &amp; energy beet</t>
  </si>
  <si>
    <t>Bristol</t>
  </si>
  <si>
    <t>GENeco</t>
  </si>
  <si>
    <t>GENeco Food Waste Recycling Plant</t>
  </si>
  <si>
    <t>BS11 0YS</t>
  </si>
  <si>
    <t>Mr J McIntosh</t>
  </si>
  <si>
    <t>Genoch Mains Farm</t>
  </si>
  <si>
    <t>DG9 9ES</t>
  </si>
  <si>
    <t>Cattle slurry. Grass silage &amp; maize silage</t>
  </si>
  <si>
    <t>Genoch Mains Farm (Extension)</t>
  </si>
  <si>
    <t>Gilfresh Produce</t>
  </si>
  <si>
    <t>BT61 8PZ</t>
  </si>
  <si>
    <t>Vegetable waste, energy crops &amp; animal slurries</t>
  </si>
  <si>
    <t>Grissan Energy</t>
  </si>
  <si>
    <t>Girvan Distillery 1</t>
  </si>
  <si>
    <t>Distillery waste</t>
  </si>
  <si>
    <t>AB Young</t>
  </si>
  <si>
    <t>Girvan Mains Farm</t>
  </si>
  <si>
    <t>KA26 9JD</t>
  </si>
  <si>
    <t>Grass silage, maize, beet &amp; manures</t>
  </si>
  <si>
    <t>Girvan Road AD</t>
  </si>
  <si>
    <t>KA26 9LN</t>
  </si>
  <si>
    <t>G &amp; A Powell</t>
  </si>
  <si>
    <t>Glanmeheli Farm</t>
  </si>
  <si>
    <t>SY16 4LN</t>
  </si>
  <si>
    <t>Poultry manure, cattle manure, fodder beat &amp; maize silage</t>
  </si>
  <si>
    <t>Glasgow Renewable Energy and Recycling Centre</t>
  </si>
  <si>
    <t>G42 0PJ</t>
  </si>
  <si>
    <t>Glendullan Distillery</t>
  </si>
  <si>
    <t>AB55 4DJ</t>
  </si>
  <si>
    <t>William Grant &amp; Sons</t>
  </si>
  <si>
    <t>Glenfiddich Distillery</t>
  </si>
  <si>
    <t>AB55 4DH</t>
  </si>
  <si>
    <t>Glenmorangie</t>
  </si>
  <si>
    <t>Glenmorangie Distillery</t>
  </si>
  <si>
    <t>A Williams</t>
  </si>
  <si>
    <t>Gobrana Road AD</t>
  </si>
  <si>
    <t>BT29 4LQ</t>
  </si>
  <si>
    <t>Ancillary Components Ltd</t>
  </si>
  <si>
    <t>Goosey Lodge</t>
  </si>
  <si>
    <t>Food waste &amp; animal processing by-products</t>
  </si>
  <si>
    <t>Connective Energy Holdings</t>
  </si>
  <si>
    <t>Gortahurk Road AD</t>
  </si>
  <si>
    <t>BT92 9DD</t>
  </si>
  <si>
    <t>Lodge Renewables</t>
  </si>
  <si>
    <t>Gortnaskea Road AD</t>
  </si>
  <si>
    <t>BT45 7JX</t>
  </si>
  <si>
    <t>Grange Farm</t>
  </si>
  <si>
    <t>Grange Farm (Grantham)</t>
  </si>
  <si>
    <t>NG32 2HB</t>
  </si>
  <si>
    <t>Wholecrop rye</t>
  </si>
  <si>
    <t>Grange Farm (Snetterton)</t>
  </si>
  <si>
    <t>NR16 2LA</t>
  </si>
  <si>
    <t xml:space="preserve">Cattle manure, poultry litter, maize silage, forage rye, grass silage &amp; wholecrop rye </t>
  </si>
  <si>
    <t>RHJ Farms</t>
  </si>
  <si>
    <t>Grange Farm (Spilsby)</t>
  </si>
  <si>
    <t>PE23 5DD</t>
  </si>
  <si>
    <t>farm yard manure, wholecrop wheat &amp; pig slurry</t>
  </si>
  <si>
    <t>Grange Farm (Spridlington)</t>
  </si>
  <si>
    <t>LN8 2DN</t>
  </si>
  <si>
    <t>Maize &amp; grass silage</t>
  </si>
  <si>
    <t>Taylor Farms</t>
  </si>
  <si>
    <t>Grange Farm (Swalcliffe)</t>
  </si>
  <si>
    <t>OX15 5EX</t>
  </si>
  <si>
    <t>Maize, energy beet, poultry litter, slurry &amp; farm yard manure</t>
  </si>
  <si>
    <t>Granville Eco Park</t>
  </si>
  <si>
    <t>BT70 1NJ</t>
  </si>
  <si>
    <t>Gravel Pit Farm</t>
  </si>
  <si>
    <t>YO41 1LN</t>
  </si>
  <si>
    <t>Ermine Farms Ltd</t>
  </si>
  <si>
    <t>Grayingham Grange Farm</t>
  </si>
  <si>
    <t>Animal manure, slurries &amp; maize silage</t>
  </si>
  <si>
    <t>Great Brynn Barton Farm</t>
  </si>
  <si>
    <t>PL26 8LH</t>
  </si>
  <si>
    <t>EX36 4LB</t>
  </si>
  <si>
    <t>Energy crops &amp; chicken litter</t>
  </si>
  <si>
    <t>Brecon Beacons National Park</t>
  </si>
  <si>
    <t>Great Porthamel Farm</t>
  </si>
  <si>
    <t>LD3 0DL</t>
  </si>
  <si>
    <t>Animal manure, maize &amp; animal processing waste</t>
  </si>
  <si>
    <t>Ynergy</t>
  </si>
  <si>
    <t>Great Ynys Farm</t>
  </si>
  <si>
    <t>HR2 8EP</t>
  </si>
  <si>
    <t>Poultry slurry, cattle slurry &amp; maize silage</t>
  </si>
  <si>
    <t>AC Shropshire</t>
  </si>
  <si>
    <t>Green Lodge Farm</t>
  </si>
  <si>
    <t>LE9 3LE</t>
  </si>
  <si>
    <t>Pig slurry &amp; food waste</t>
  </si>
  <si>
    <t>Guy &amp; Wright</t>
  </si>
  <si>
    <t>Green Tye AD</t>
  </si>
  <si>
    <t>SG10 6JJ</t>
  </si>
  <si>
    <t>Greencircle Renewables Ltd</t>
  </si>
  <si>
    <t>Greencircle AD</t>
  </si>
  <si>
    <t>BT60 4QA</t>
  </si>
  <si>
    <t>Slurry, food waste</t>
  </si>
  <si>
    <t>Greencore Grocery Limited</t>
  </si>
  <si>
    <t>Greencore Grocery</t>
  </si>
  <si>
    <t>YO8 5BJ</t>
  </si>
  <si>
    <t>Hayton Agriculture Ltd</t>
  </si>
  <si>
    <t>Greengills Farm</t>
  </si>
  <si>
    <t>CA11 8SE</t>
  </si>
  <si>
    <t>Maize, grass silage &amp; manure</t>
  </si>
  <si>
    <t>Isle of Wight</t>
  </si>
  <si>
    <t>Black Dog Biogas</t>
  </si>
  <si>
    <t>Greenhill AD</t>
  </si>
  <si>
    <t>PO30 5TS</t>
  </si>
  <si>
    <t>Maize silgae &amp; cattle slurry</t>
  </si>
  <si>
    <t>Thompson Recycled Oil</t>
  </si>
  <si>
    <t>Greenogue Road AD</t>
  </si>
  <si>
    <t>BT25 1RG</t>
  </si>
  <si>
    <t>Crop silage, cattle slurry &amp; possible on-site effluents</t>
  </si>
  <si>
    <t>Greenville Energy</t>
  </si>
  <si>
    <t>BT78 4LU</t>
  </si>
  <si>
    <t>Animal slurry &amp; food waste</t>
  </si>
  <si>
    <t>Pretoria Energy</t>
  </si>
  <si>
    <t>Greys Farm</t>
  </si>
  <si>
    <t>CB6 2AZ</t>
  </si>
  <si>
    <t>Grindley House Farm</t>
  </si>
  <si>
    <t>ST18 0LR</t>
  </si>
  <si>
    <t>Maize silage, grass silage, animal slurry &amp; poultry litter</t>
  </si>
  <si>
    <t>GlaxoSmithKline</t>
  </si>
  <si>
    <t>GSK Irvine</t>
  </si>
  <si>
    <t>KA11 5AP</t>
  </si>
  <si>
    <t>Factory waste</t>
  </si>
  <si>
    <t>Histon Sweet Spreads Limited</t>
  </si>
  <si>
    <t>Hain Daniels AD</t>
  </si>
  <si>
    <t>CB24 9NR</t>
  </si>
  <si>
    <t>Effluents from drinks production</t>
  </si>
  <si>
    <t>WRAP</t>
  </si>
  <si>
    <t>Hall Farm</t>
  </si>
  <si>
    <t>SY8 3EX</t>
  </si>
  <si>
    <t>Halls Pig Farm</t>
  </si>
  <si>
    <t>BT36 5SF</t>
  </si>
  <si>
    <t>Pig slurry &amp; cattle slurry</t>
  </si>
  <si>
    <t>Halstead AD</t>
  </si>
  <si>
    <t>CO9 2SZ</t>
  </si>
  <si>
    <t>Harpers Transport</t>
  </si>
  <si>
    <t>Harpers Transport AD</t>
  </si>
  <si>
    <t>AB52 6XP</t>
  </si>
  <si>
    <t>Agricultural residues</t>
  </si>
  <si>
    <t>Harpham Grange Farm</t>
  </si>
  <si>
    <t>YO25 4NE</t>
  </si>
  <si>
    <t>Maize, rye, poultry litter, pig manure &amp; pig slurry</t>
  </si>
  <si>
    <t>Barfoots Energy</t>
  </si>
  <si>
    <t>EX16 7AY</t>
  </si>
  <si>
    <t>Hatton Farm AD</t>
  </si>
  <si>
    <t>DD7 6LP</t>
  </si>
  <si>
    <t>Maize silage, rye silage, sugar beet</t>
  </si>
  <si>
    <t>Normans Farm Gas Power Ltd</t>
  </si>
  <si>
    <t>Haznortra Farm AD</t>
  </si>
  <si>
    <t>CH64 8TQ</t>
  </si>
  <si>
    <t>Cattle slurry. Silage</t>
  </si>
  <si>
    <t>Bedstone Growers</t>
  </si>
  <si>
    <t>Heath Farm (Hopton Heath)</t>
  </si>
  <si>
    <t>SY7 0QB</t>
  </si>
  <si>
    <t>Poultry litter &amp; energy crops</t>
  </si>
  <si>
    <t>Heath Farm (Market Rasen)</t>
  </si>
  <si>
    <t>LN8 2AE</t>
  </si>
  <si>
    <t>Animal manure, slurries &amp; wholecrop wheat</t>
  </si>
  <si>
    <t>Agraferm/Future Biogas</t>
  </si>
  <si>
    <t>Heath Farm (Metheringham)</t>
  </si>
  <si>
    <t>LN4 2AL</t>
  </si>
  <si>
    <t>NR21 7DY</t>
  </si>
  <si>
    <t>Animal manures &amp; energy crops</t>
  </si>
  <si>
    <t>BioteCH4</t>
  </si>
  <si>
    <t>Hemswell Cliff Industrial Estate</t>
  </si>
  <si>
    <t>DN21 5TU</t>
  </si>
  <si>
    <t>Hendre Poultry Ltd</t>
  </si>
  <si>
    <t>Hendre Farm AD</t>
  </si>
  <si>
    <t>LD7 1YT</t>
  </si>
  <si>
    <t>Dairy slurry, silage</t>
  </si>
  <si>
    <t>Manure &amp; slurry</t>
  </si>
  <si>
    <t>Berkshire</t>
  </si>
  <si>
    <t>Herriard Estate</t>
  </si>
  <si>
    <t>RG25 2NS</t>
  </si>
  <si>
    <t>Food waste &amp; energy crops</t>
  </si>
  <si>
    <t>Hewitt Meats</t>
  </si>
  <si>
    <t>Hewitt Meats AD</t>
  </si>
  <si>
    <t>BT61 8QB</t>
  </si>
  <si>
    <t>Grass silage, cereal silage, chicken manure &amp; bull slurry</t>
  </si>
  <si>
    <t>Hibaldstow Airfield</t>
  </si>
  <si>
    <t>DN20 9NN</t>
  </si>
  <si>
    <t>High Hedley Hope Farm</t>
  </si>
  <si>
    <t>DL13 4PR</t>
  </si>
  <si>
    <t>Animal slurry, grass silage &amp; animal processing waste</t>
  </si>
  <si>
    <t>High Lea AD</t>
  </si>
  <si>
    <t>BH21 5AA</t>
  </si>
  <si>
    <t>Maize, fodder beet &amp; crop waste</t>
  </si>
  <si>
    <t>EG Cox &amp; Son</t>
  </si>
  <si>
    <t>Higher Bere Chapel Farm</t>
  </si>
  <si>
    <t>TA18 8QA</t>
  </si>
  <si>
    <t>Melbury Bioenergy Ltd</t>
  </si>
  <si>
    <t>Higher Holt Farm</t>
  </si>
  <si>
    <t>DT2 0LX</t>
  </si>
  <si>
    <t>Brinklow Biogas</t>
  </si>
  <si>
    <t>Highwood Farm</t>
  </si>
  <si>
    <t>CV23 0NJ</t>
  </si>
  <si>
    <t>Purton Manor Farms</t>
  </si>
  <si>
    <t>Hill Farm (Lensbrook)</t>
  </si>
  <si>
    <t>GL15 4LR</t>
  </si>
  <si>
    <t>Boxford (Suffolk) Farms</t>
  </si>
  <si>
    <t>Hill Farm (Polstead)</t>
  </si>
  <si>
    <t>CO10 5NY</t>
  </si>
  <si>
    <t>Animal slurry, energy crops &amp; apple processing waste</t>
  </si>
  <si>
    <t>Hay Farms</t>
  </si>
  <si>
    <t>Hill Top Farm AD</t>
  </si>
  <si>
    <t>WF9 5JB</t>
  </si>
  <si>
    <t>Poultry manure</t>
  </si>
  <si>
    <t>Cockerham Green Energy</t>
  </si>
  <si>
    <t>Hillam Lane Farm</t>
  </si>
  <si>
    <t>LA2 0DX</t>
  </si>
  <si>
    <t>Cattle slurry, poultry manure &amp; grass silage</t>
  </si>
  <si>
    <t>Hillam Lane Farm (phase 2)</t>
  </si>
  <si>
    <t>Hillfoot Farm</t>
  </si>
  <si>
    <t>RG7 6PG</t>
  </si>
  <si>
    <t>EX5 1PY</t>
  </si>
  <si>
    <t>Holdingham Bioenergy</t>
  </si>
  <si>
    <t>NG34 8NP</t>
  </si>
  <si>
    <t>Maize, sugar beet, grass silage &amp; poultry manure</t>
  </si>
  <si>
    <t>NR22 6BD</t>
  </si>
  <si>
    <t>Holly Park Farm Energy</t>
  </si>
  <si>
    <t>Holly Park Farm</t>
  </si>
  <si>
    <t>BT78 2DS</t>
  </si>
  <si>
    <t>Holsworthy Biogas Plant</t>
  </si>
  <si>
    <t>EX22 7HH</t>
  </si>
  <si>
    <t>Holton Renewable Energy</t>
  </si>
  <si>
    <t>IP19 8NJ</t>
  </si>
  <si>
    <t>Brayfield Farms</t>
  </si>
  <si>
    <t>Home Farm (Brayfield)</t>
  </si>
  <si>
    <t>MK46 4HR</t>
  </si>
  <si>
    <t>JE &amp; EME Ames</t>
  </si>
  <si>
    <t>Home Farm (Brunstead)</t>
  </si>
  <si>
    <t>NR12 9ES</t>
  </si>
  <si>
    <t>Pig slurry, poultry litter, maize silage &amp; grass silage</t>
  </si>
  <si>
    <t>Cranford Management</t>
  </si>
  <si>
    <t>Home Farm (Cranford)</t>
  </si>
  <si>
    <t>NN14 4AL</t>
  </si>
  <si>
    <t>Stretton Energy</t>
  </si>
  <si>
    <t>Home Farm (Leebotwood)</t>
  </si>
  <si>
    <t>SY6 6LX</t>
  </si>
  <si>
    <t>Poultry manure &amp; energy crops</t>
  </si>
  <si>
    <t>Home Farm (Newby)</t>
  </si>
  <si>
    <t>DL7 9HB</t>
  </si>
  <si>
    <t>Animal manure, grass silage &amp; vegetable waste</t>
  </si>
  <si>
    <t>Home Farm (Scrivelsby)</t>
  </si>
  <si>
    <t>LN9 6JB</t>
  </si>
  <si>
    <t xml:space="preserve">Poultry litter, wholecrop rye, maize, grass silage &amp; cattle manure </t>
  </si>
  <si>
    <t>H&amp;Q Farming</t>
  </si>
  <si>
    <t>Homeleaze Farm</t>
  </si>
  <si>
    <t>GL7 5DF</t>
  </si>
  <si>
    <t>Honeybrook Farm</t>
  </si>
  <si>
    <t>BH21 4JE</t>
  </si>
  <si>
    <t>Adjuvo Energy</t>
  </si>
  <si>
    <t>Honeypot Farm</t>
  </si>
  <si>
    <t>NG33 5LY</t>
  </si>
  <si>
    <t>Rye, maize silage &amp; poultry litter</t>
  </si>
  <si>
    <t>Limelight Energy Ltd</t>
  </si>
  <si>
    <t>Hope House Farm</t>
  </si>
  <si>
    <t>TS21 2HF</t>
  </si>
  <si>
    <t>Cattle manure &amp; grass silage</t>
  </si>
  <si>
    <t>Pickstock Telford</t>
  </si>
  <si>
    <t>Hortonwood Industrial Estate</t>
  </si>
  <si>
    <t>TF1 7FA</t>
  </si>
  <si>
    <t>Paunch, animal slurries &amp; abattoir wastes</t>
  </si>
  <si>
    <t>The Co-Operative/ENERG Ltd</t>
  </si>
  <si>
    <t>Houghton Lodge Farm</t>
  </si>
  <si>
    <t>LE7 9GB</t>
  </si>
  <si>
    <t>Maize, grass silage &amp; animal manure</t>
  </si>
  <si>
    <t>Howla Hay AD</t>
  </si>
  <si>
    <t>TS14 6QB</t>
  </si>
  <si>
    <t>Hunniford Energy</t>
  </si>
  <si>
    <t>Hunniford Farm</t>
  </si>
  <si>
    <t>Animal processing waste, animal slurry &amp; crop silage</t>
  </si>
  <si>
    <t>IB Energy</t>
  </si>
  <si>
    <t>BT78 3EL</t>
  </si>
  <si>
    <t>Icknield Farm</t>
  </si>
  <si>
    <t>OX10 6AS</t>
  </si>
  <si>
    <t>Cereal crops, maize &amp; pig slurry</t>
  </si>
  <si>
    <t>Ignis Wick Ltd</t>
  </si>
  <si>
    <t>Ignis Wick AD</t>
  </si>
  <si>
    <t>KW1 5BA</t>
  </si>
  <si>
    <t>TS6 6BA</t>
  </si>
  <si>
    <t>Maize, wheat chaff, slurry, food waste, garden waste, animal by-product &amp; glycerol</t>
  </si>
  <si>
    <t>Inchdairnie Farm</t>
  </si>
  <si>
    <t>KY5 0UL</t>
  </si>
  <si>
    <t>Maize, distillery draff &amp; rye</t>
  </si>
  <si>
    <t>Intake Energy Limited</t>
  </si>
  <si>
    <t>Intake Farm</t>
  </si>
  <si>
    <t>BD23 6PP</t>
  </si>
  <si>
    <t>Whyte &amp; Mackay</t>
  </si>
  <si>
    <t>Invergordon Distillery</t>
  </si>
  <si>
    <t>IV18 0HP</t>
  </si>
  <si>
    <t>JMW Farms</t>
  </si>
  <si>
    <t>Pig slurry &amp; energy crops</t>
  </si>
  <si>
    <t>Heineken</t>
  </si>
  <si>
    <t>John Smiths Brewery</t>
  </si>
  <si>
    <t>LS24 9SA</t>
  </si>
  <si>
    <t>Just Farm Energy</t>
  </si>
  <si>
    <t>BT51 5PQ</t>
  </si>
  <si>
    <t>AS &amp; CE Coulthard</t>
  </si>
  <si>
    <t>Justicetown Farm</t>
  </si>
  <si>
    <t>Keen's Cheddar Ltd</t>
  </si>
  <si>
    <t>Keen's Cheddar AD</t>
  </si>
  <si>
    <t>BA9 8JR</t>
  </si>
  <si>
    <t>Cheese processing waste</t>
  </si>
  <si>
    <t>Keithick Biogas</t>
  </si>
  <si>
    <t>Keithick Farm</t>
  </si>
  <si>
    <t xml:space="preserve">Whole crop rye, maize, sugar beet off-cuts, raw silage &amp; poultry litter </t>
  </si>
  <si>
    <t>JL Hall</t>
  </si>
  <si>
    <t>Kelsick House Farm</t>
  </si>
  <si>
    <t>CA7 4TL</t>
  </si>
  <si>
    <t>Poultry litter &amp; grass silage</t>
  </si>
  <si>
    <t>Kemsley Paper Mill</t>
  </si>
  <si>
    <t>ME9 8SR</t>
  </si>
  <si>
    <t>Paper mill effluent</t>
  </si>
  <si>
    <t>Greenshoots Energy</t>
  </si>
  <si>
    <t>Kenninghall Renewable Energy Facility</t>
  </si>
  <si>
    <t>NR16 2DU</t>
  </si>
  <si>
    <t>Cattle slurry, poultry litter &amp; maize</t>
  </si>
  <si>
    <t>Singleton Birch</t>
  </si>
  <si>
    <t>HU17 0RT</t>
  </si>
  <si>
    <t>Potato processing waste &amp; glycerol</t>
  </si>
  <si>
    <t>J Blair</t>
  </si>
  <si>
    <t>Kilmoyle Road AD</t>
  </si>
  <si>
    <t>BT53 6NR</t>
  </si>
  <si>
    <t>Thamesdown Recycling</t>
  </si>
  <si>
    <t>Kingshill Recycling Centre</t>
  </si>
  <si>
    <t>SN6 6JR</t>
  </si>
  <si>
    <t>Yorston &amp; Sinclair</t>
  </si>
  <si>
    <t>Kinknockie Farm</t>
  </si>
  <si>
    <t>AB41 7RL</t>
  </si>
  <si>
    <t>Kirkbride House Farm</t>
  </si>
  <si>
    <t>CA7 5JR</t>
  </si>
  <si>
    <t>Kirkton Farm</t>
  </si>
  <si>
    <t>DD5 3QN</t>
  </si>
  <si>
    <t>Knockaginny Road AD</t>
  </si>
  <si>
    <t>BT68 4UL</t>
  </si>
  <si>
    <t>Knockrivoch Farm</t>
  </si>
  <si>
    <t>KA21 6NH</t>
  </si>
  <si>
    <t>Kraft Food</t>
  </si>
  <si>
    <t>Kraft Food AD</t>
  </si>
  <si>
    <t>OX16 2QU</t>
  </si>
  <si>
    <t>Coffee waste</t>
  </si>
  <si>
    <t>Laburnum House</t>
  </si>
  <si>
    <t>PE22 7AN</t>
  </si>
  <si>
    <t>Cattle manure, pig manure, sugar beet, grass silage, wholecrop rye, wheat straw, grain waste, chicken litter &amp; pea waste</t>
  </si>
  <si>
    <t>Greenville Energy Ltd</t>
  </si>
  <si>
    <t>LacPatrick Dairies AD</t>
  </si>
  <si>
    <t>BT82 0HN</t>
  </si>
  <si>
    <t>Mr J Bayley</t>
  </si>
  <si>
    <t>Ladyleys Farm AD</t>
  </si>
  <si>
    <t>DE12 8EE</t>
  </si>
  <si>
    <t>Lancaster Brewery</t>
  </si>
  <si>
    <t>LA1 3LA</t>
  </si>
  <si>
    <t>Lanes Farm Energy</t>
  </si>
  <si>
    <t>Lanes Farm AD</t>
  </si>
  <si>
    <t>WF7 7DX</t>
  </si>
  <si>
    <t>Farmyard manure, poultry manure, hybrid rye, energy beet, grass silage, straw, vegetable waste, liquid food waste</t>
  </si>
  <si>
    <t>Langage Farm</t>
  </si>
  <si>
    <t>PL7 5AY</t>
  </si>
  <si>
    <t>Food waste &amp; cattle manure</t>
  </si>
  <si>
    <t>Transition Lavenham</t>
  </si>
  <si>
    <t>Lavenham Community AD</t>
  </si>
  <si>
    <t>CO10</t>
  </si>
  <si>
    <t>Sugar beet pulp</t>
  </si>
  <si>
    <t>Laynes Piggery</t>
  </si>
  <si>
    <t>Pig slurry, pig manure, maize &amp; energy beet</t>
  </si>
  <si>
    <t>HF &amp; NJ Williams &amp; Sons</t>
  </si>
  <si>
    <t>Lea Hall Farm</t>
  </si>
  <si>
    <t>SY5 8HY</t>
  </si>
  <si>
    <t>Maize, fodder beet &amp; poultry manure</t>
  </si>
  <si>
    <t>Leeming Bar AD</t>
  </si>
  <si>
    <t>DL7 9LY</t>
  </si>
  <si>
    <t>Potato waste, soya waste, creamery waste &amp; brewery waste</t>
  </si>
  <si>
    <t>Environment First Ltd</t>
  </si>
  <si>
    <t>Lested Farm</t>
  </si>
  <si>
    <t>ME17 3SA</t>
  </si>
  <si>
    <t>Farm yard manure, cattle slurry, poultry manure, fruit &amp; vegetable outgrades &amp; maize grain</t>
  </si>
  <si>
    <t>Levenseat</t>
  </si>
  <si>
    <t>Levenseat Recycling facility</t>
  </si>
  <si>
    <t>ML11 8EP</t>
  </si>
  <si>
    <t>Food waste (Municipal)</t>
  </si>
  <si>
    <t>Lime House Farm</t>
  </si>
  <si>
    <t>PR3 2TE</t>
  </si>
  <si>
    <t>G Wannop &amp; Son</t>
  </si>
  <si>
    <t>Linstock Castle Farm</t>
  </si>
  <si>
    <t>CA6 4PZ</t>
  </si>
  <si>
    <t>Maize silage &amp; cattle slurry</t>
  </si>
  <si>
    <t>Foyle Food Group</t>
  </si>
  <si>
    <t>Lisahally Port</t>
  </si>
  <si>
    <t>BT47 6TJ</t>
  </si>
  <si>
    <t>Green waste, animal processing wastes &amp; sewage sludge</t>
  </si>
  <si>
    <t>Little Onn AD</t>
  </si>
  <si>
    <t>Energy crops &amp; animal slurry</t>
  </si>
  <si>
    <t>MFG Generation Ltd</t>
  </si>
  <si>
    <t>Little Pengethley Farm</t>
  </si>
  <si>
    <t>Little Woolden Hall Farm</t>
  </si>
  <si>
    <t>Little Woolden Hall Farm AD</t>
  </si>
  <si>
    <t>WA3 5AR</t>
  </si>
  <si>
    <t>Dairy slurry/manure</t>
  </si>
  <si>
    <t>DG7 2DQ</t>
  </si>
  <si>
    <t>Littleton Farm (2)</t>
  </si>
  <si>
    <t>Cattle manure &amp; silage</t>
  </si>
  <si>
    <t>LL54 5DF</t>
  </si>
  <si>
    <t>N Poett</t>
  </si>
  <si>
    <t>Loanhead Farm</t>
  </si>
  <si>
    <t>FK14 7LY</t>
  </si>
  <si>
    <t>PE15 0BA</t>
  </si>
  <si>
    <t>Fife Council</t>
  </si>
  <si>
    <t>Lochhead Landfill (Dry-AD)</t>
  </si>
  <si>
    <t>KY12 0RX</t>
  </si>
  <si>
    <t>Food waste &amp; green waste</t>
  </si>
  <si>
    <t>Lockerbie Biogas Ltd</t>
  </si>
  <si>
    <t>Lockerbie Creamery</t>
  </si>
  <si>
    <t>DG11 1LW</t>
  </si>
  <si>
    <t>Creamery whey &amp; wash waters</t>
  </si>
  <si>
    <t>FRE-Energy</t>
  </si>
  <si>
    <t>Lodge Farm</t>
  </si>
  <si>
    <t>LL13 9TE</t>
  </si>
  <si>
    <t>Cattle slurry &amp; poultry litter</t>
  </si>
  <si>
    <t>Saria</t>
  </si>
  <si>
    <t>London Sustainable Industries Park (ReFood)</t>
  </si>
  <si>
    <t>RM9 6RA</t>
  </si>
  <si>
    <t>Princes</t>
  </si>
  <si>
    <t>Long Sutton</t>
  </si>
  <si>
    <t>PE12 9EQ</t>
  </si>
  <si>
    <t>Waste water from vegetable preparation</t>
  </si>
  <si>
    <t>Gloucestershire Farming &amp; Wildlife Advisory Group</t>
  </si>
  <si>
    <t>Longdon Marsh Biogas Project</t>
  </si>
  <si>
    <t>WR8 0EF</t>
  </si>
  <si>
    <t>DONG Energy</t>
  </si>
  <si>
    <t>Lostock Works</t>
  </si>
  <si>
    <t>CW9 7ZR</t>
  </si>
  <si>
    <t>G Hayes</t>
  </si>
  <si>
    <t>Lough Road AD</t>
  </si>
  <si>
    <t>BT28 2PQ</t>
  </si>
  <si>
    <t>J Bramley &amp; Son</t>
  </si>
  <si>
    <t>Low Farm</t>
  </si>
  <si>
    <t>Animal manure, maize silage, grass silage &amp; sugar beet</t>
  </si>
  <si>
    <t>Low Luckens Organic Resource Centre</t>
  </si>
  <si>
    <t>CA6 6LJ</t>
  </si>
  <si>
    <t>Animal manure &amp; grass silage</t>
  </si>
  <si>
    <t>Biogas Nord</t>
  </si>
  <si>
    <t>Lowbrook Farm Anaerobic Digester</t>
  </si>
  <si>
    <t>DT11 0EQ</t>
  </si>
  <si>
    <t xml:space="preserve">Cattle manure, poultry manure &amp; maize silage </t>
  </si>
  <si>
    <t>EOS Developments</t>
  </si>
  <si>
    <t>Lower Drayton Farm</t>
  </si>
  <si>
    <t>ST19 5RE</t>
  </si>
  <si>
    <t>Agripost</t>
  </si>
  <si>
    <t>Lower House Farm</t>
  </si>
  <si>
    <t xml:space="preserve">SY5 9NQ </t>
  </si>
  <si>
    <t>Maize, slurry, food waste, potato waste, sludge, leachate &amp; poultry litter</t>
  </si>
  <si>
    <t>Lower Parks Farm</t>
  </si>
  <si>
    <t>LL12 0BN</t>
  </si>
  <si>
    <t>Cattle slurry, grass silage &amp; glycerol</t>
  </si>
  <si>
    <t>Interbrew UK Limited</t>
  </si>
  <si>
    <t>Magor ETP AD</t>
  </si>
  <si>
    <t>NP26 3EE</t>
  </si>
  <si>
    <t>Brewery effluents</t>
  </si>
  <si>
    <t>D Bartlet &amp; Son</t>
  </si>
  <si>
    <t>Mains of Fortrie AD</t>
  </si>
  <si>
    <t>AB41 8UY</t>
  </si>
  <si>
    <t>AB Agri</t>
  </si>
  <si>
    <t>Manor Farm (Alderton)</t>
  </si>
  <si>
    <t>NN12 7LS</t>
  </si>
  <si>
    <t>Maize, rye &amp; wheat</t>
  </si>
  <si>
    <t>Manor Farm (Beal)</t>
  </si>
  <si>
    <t>DN14 0ST</t>
  </si>
  <si>
    <t xml:space="preserve">Cattle manure, pig manure, poultry litter, potatoes, maize, grass silage &amp; whole crop rye </t>
  </si>
  <si>
    <t>Manor Farm (Clixby)</t>
  </si>
  <si>
    <t>Energy crops, poultry litter &amp; duck manure</t>
  </si>
  <si>
    <t>R Dickins</t>
  </si>
  <si>
    <t>Manor Farm (Grimscote)</t>
  </si>
  <si>
    <t>NN12 8LN</t>
  </si>
  <si>
    <t>Manor Farm (Holbeach)</t>
  </si>
  <si>
    <t>PE12 8LR</t>
  </si>
  <si>
    <t>Outgrade vegetables &amp; energy crops</t>
  </si>
  <si>
    <t>Furrowland Energy</t>
  </si>
  <si>
    <t>Manor Farm (Newton-on-trent)</t>
  </si>
  <si>
    <t>JL Jones &amp; Co</t>
  </si>
  <si>
    <t>Manor Farm (Wistanstow)</t>
  </si>
  <si>
    <t>SY7 8DG</t>
  </si>
  <si>
    <t>Poultry manure, grass silage, maize &amp; energy beet</t>
  </si>
  <si>
    <t>Manor Farm</t>
  </si>
  <si>
    <t>Manor Farm AD</t>
  </si>
  <si>
    <t>DN10 6BL</t>
  </si>
  <si>
    <t>J Yeoman</t>
  </si>
  <si>
    <t>Manor Farm Dairy</t>
  </si>
  <si>
    <t>BA4 4LG</t>
  </si>
  <si>
    <t>Mauri Products</t>
  </si>
  <si>
    <t>HU7 0XW</t>
  </si>
  <si>
    <t>Bakery waste</t>
  </si>
  <si>
    <t>Mawley Town Farm</t>
  </si>
  <si>
    <t>DY14 8PJ</t>
  </si>
  <si>
    <t>Barway Farms Ltd</t>
  </si>
  <si>
    <t>May Farm</t>
  </si>
  <si>
    <t>CB7 4TF</t>
  </si>
  <si>
    <t>Maize silage &amp; vegetable outgrades</t>
  </si>
  <si>
    <t>McCain Foods</t>
  </si>
  <si>
    <t>McCain Foods AD</t>
  </si>
  <si>
    <t>PE7 2PG</t>
  </si>
  <si>
    <t>Waste starch</t>
  </si>
  <si>
    <t>McGrane Nurseries Ltd</t>
  </si>
  <si>
    <t>McGrane Nurseries</t>
  </si>
  <si>
    <t>BT62 2LE</t>
  </si>
  <si>
    <t>Grass silage, rye silage, wheat grains &amp; poultry manure</t>
  </si>
  <si>
    <t>Mein Farming Ltd</t>
  </si>
  <si>
    <t>Meinside AD</t>
  </si>
  <si>
    <t>DG11 3JT</t>
  </si>
  <si>
    <t>Melbury Bioenergy</t>
  </si>
  <si>
    <t>Melbury Dairy AD</t>
  </si>
  <si>
    <t>DT2 0LU</t>
  </si>
  <si>
    <t>Animal slurry, maize &amp; grass silage</t>
  </si>
  <si>
    <t>Northern Crop Driers</t>
  </si>
  <si>
    <t>Melrose Farm</t>
  </si>
  <si>
    <t>YO42 4SS</t>
  </si>
  <si>
    <t>Maize &amp; pig slurry</t>
  </si>
  <si>
    <t>Nomansland Biogas</t>
  </si>
  <si>
    <t>Menchine Farm</t>
  </si>
  <si>
    <t>EX16 8NP</t>
  </si>
  <si>
    <t>Maize, farm yard manure, grass silage &amp; poultry litter</t>
  </si>
  <si>
    <t>A F Machinery Ltd</t>
  </si>
  <si>
    <t>Mere Farm</t>
  </si>
  <si>
    <t>IP24 1QZ</t>
  </si>
  <si>
    <t>Unspecified crops</t>
  </si>
  <si>
    <t>Methwold Farm</t>
  </si>
  <si>
    <t>Pig slurry, maize silage &amp; grass silage</t>
  </si>
  <si>
    <t>W Parker &amp; Son</t>
  </si>
  <si>
    <t>Miekle Laught Farm</t>
  </si>
  <si>
    <t>KA21 6NF</t>
  </si>
  <si>
    <t>cattle slurry &amp; manure</t>
  </si>
  <si>
    <t xml:space="preserve">TD Goodall </t>
  </si>
  <si>
    <t>Milk Churn Farm</t>
  </si>
  <si>
    <t>LS14 3HQ</t>
  </si>
  <si>
    <t>Slurry &amp; FYM</t>
  </si>
  <si>
    <t>Mill Nurseries</t>
  </si>
  <si>
    <t>HU12 9RX</t>
  </si>
  <si>
    <t>Manures, energy crops, crop residues &amp; rotation crops</t>
  </si>
  <si>
    <t>Midlothian</t>
  </si>
  <si>
    <t>Millerhill AD</t>
  </si>
  <si>
    <t>Milltown Gravel Ltd</t>
  </si>
  <si>
    <t>Milltown Gravel AD</t>
  </si>
  <si>
    <t>BT78 4JZ</t>
  </si>
  <si>
    <t>M&amp;M Power</t>
  </si>
  <si>
    <t>HR6 9LA</t>
  </si>
  <si>
    <t>Potatoes, maize, fodder beet &amp; poultry litter</t>
  </si>
  <si>
    <t>Milton Keynes Waste Recovery Park</t>
  </si>
  <si>
    <t>MK12 5QQ</t>
  </si>
  <si>
    <t>Montupet UK</t>
  </si>
  <si>
    <t>Montupet, Dunmurry</t>
  </si>
  <si>
    <t>BT17 9HN</t>
  </si>
  <si>
    <t>IV2 7JQ</t>
  </si>
  <si>
    <t>Rye, grass silage, energy beet &amp; other energy crops</t>
  </si>
  <si>
    <t>Tyne &amp; Wear</t>
  </si>
  <si>
    <t>Carillion Services Ltd</t>
  </si>
  <si>
    <t>Mossley Hollins School AD</t>
  </si>
  <si>
    <t>OL5 9DP</t>
  </si>
  <si>
    <t>CJ Parish &amp; Sons</t>
  </si>
  <si>
    <t>Mounstephen Farm</t>
  </si>
  <si>
    <t>EX15 3BX</t>
  </si>
  <si>
    <t>poultry manure, cattle slurry &amp; maize silage</t>
  </si>
  <si>
    <t>Much Fawley Farm</t>
  </si>
  <si>
    <t>HR1 4SP</t>
  </si>
  <si>
    <t>Slurry, poultry manure &amp; maize</t>
  </si>
  <si>
    <t>Murrow AD</t>
  </si>
  <si>
    <t>PE13 4HN</t>
  </si>
  <si>
    <t>Cattle manure &amp; vegetable outgrades</t>
  </si>
  <si>
    <t>Myrtle Grange Farm</t>
  </si>
  <si>
    <t>DN14 0RA</t>
  </si>
  <si>
    <t>Energy crops &amp; farm yard manures</t>
  </si>
  <si>
    <t>M Hall</t>
  </si>
  <si>
    <t>Narrow Water Castle</t>
  </si>
  <si>
    <t>BT34 3LE</t>
  </si>
  <si>
    <t>Nestle</t>
  </si>
  <si>
    <t>Nestle AD</t>
  </si>
  <si>
    <t>NE3 3TR</t>
  </si>
  <si>
    <t>Confectionary production waste</t>
  </si>
  <si>
    <t>J Beaty &amp; Son</t>
  </si>
  <si>
    <t>Nevill Holt AD</t>
  </si>
  <si>
    <t>LE16 8EF</t>
  </si>
  <si>
    <t>Maize silage &amp; animal manures</t>
  </si>
  <si>
    <t>New Buildings Farm</t>
  </si>
  <si>
    <t>ST15 8SL</t>
  </si>
  <si>
    <t>ME Furniss &amp; Son</t>
  </si>
  <si>
    <t>New House Farm</t>
  </si>
  <si>
    <t>TF10 8BN</t>
  </si>
  <si>
    <t>Energy crops, pig slurry &amp; poultry litter</t>
  </si>
  <si>
    <t>Roden Renewables</t>
  </si>
  <si>
    <t>New House Farm AD</t>
  </si>
  <si>
    <t>SY5 0HR</t>
  </si>
  <si>
    <t>Slurry, crop waste</t>
  </si>
  <si>
    <t>New Inn AD</t>
  </si>
  <si>
    <t>NP4 0SH</t>
  </si>
  <si>
    <t>JFS New Mill Biogas</t>
  </si>
  <si>
    <t>New Mill Farm</t>
  </si>
  <si>
    <t xml:space="preserve">YO61 4NN </t>
  </si>
  <si>
    <t>Animal manure, grass silage &amp; maize silage</t>
  </si>
  <si>
    <t>Oaktech Environmental</t>
  </si>
  <si>
    <t>New Smithfield Market</t>
  </si>
  <si>
    <t>M11 2WW</t>
  </si>
  <si>
    <t>W Venn</t>
  </si>
  <si>
    <t>Newley Farm AD</t>
  </si>
  <si>
    <t>TA4 1AQ</t>
  </si>
  <si>
    <t>A Dale</t>
  </si>
  <si>
    <t>Newnham Farm AD</t>
  </si>
  <si>
    <t>SY5 9PX</t>
  </si>
  <si>
    <t>Food Waste</t>
  </si>
  <si>
    <t>Emerald Biogas</t>
  </si>
  <si>
    <t>DL5 6AB</t>
  </si>
  <si>
    <t>Nocton Fen Farm</t>
  </si>
  <si>
    <t>LN4 2AY</t>
  </si>
  <si>
    <t>Maize, grass silage &amp; sugarbeet pulp</t>
  </si>
  <si>
    <t xml:space="preserve">North British Distillery </t>
  </si>
  <si>
    <t>EH11 2PX</t>
  </si>
  <si>
    <t>Rockscape Energy</t>
  </si>
  <si>
    <t>North Moor Farm</t>
  </si>
  <si>
    <t>DN17 4DA</t>
  </si>
  <si>
    <t>Northwest Biogas</t>
  </si>
  <si>
    <t>North West Biogas</t>
  </si>
  <si>
    <t>FY5 4QD</t>
  </si>
  <si>
    <t>Northwold Farm</t>
  </si>
  <si>
    <t>DN20 0NS</t>
  </si>
  <si>
    <t>Pig  slurry, maize &amp; energy beet</t>
  </si>
  <si>
    <t>Nothill Farm</t>
  </si>
  <si>
    <t>ST14 5AT</t>
  </si>
  <si>
    <t>Oak Grove Renewables</t>
  </si>
  <si>
    <t>Oakfield Farm</t>
  </si>
  <si>
    <t xml:space="preserve">OX17 2FD </t>
  </si>
  <si>
    <t>Oakfields farm</t>
  </si>
  <si>
    <t>NN6 8DS</t>
  </si>
  <si>
    <t>Cattle manure, maize silage &amp; ryegrass</t>
  </si>
  <si>
    <t>WWH Houlbrooke &amp; Sons</t>
  </si>
  <si>
    <t>Ockeridge Farm AD</t>
  </si>
  <si>
    <t>WR13 6HP</t>
  </si>
  <si>
    <t>M Percy Ltd</t>
  </si>
  <si>
    <t>Old Ballikinrain House AD</t>
  </si>
  <si>
    <t>G63 0LL</t>
  </si>
  <si>
    <t>R Edwards &amp; Co</t>
  </si>
  <si>
    <t>Old Court AD</t>
  </si>
  <si>
    <t>HR6 9HR</t>
  </si>
  <si>
    <t>Maize silage, poultry litter &amp; apple pomace</t>
  </si>
  <si>
    <t>Old Court AD (Extension)</t>
  </si>
  <si>
    <t>P Ducksbury</t>
  </si>
  <si>
    <t>Old Great North Road AD</t>
  </si>
  <si>
    <t>NG22 0NE</t>
  </si>
  <si>
    <t>Grass silage &amp; animal manure</t>
  </si>
  <si>
    <t>Orchard House Foods</t>
  </si>
  <si>
    <t>NN17 4JL</t>
  </si>
  <si>
    <t>Fruit waste</t>
  </si>
  <si>
    <t>ALG Developments</t>
  </si>
  <si>
    <t>Orchard Road Industrial Estate</t>
  </si>
  <si>
    <t>BT82 9FR</t>
  </si>
  <si>
    <t>Waste vegetable oil, animal slurries &amp; grass silage</t>
  </si>
  <si>
    <t>Organic Power</t>
  </si>
  <si>
    <t>Organic Power AD</t>
  </si>
  <si>
    <t>BA8 0EW</t>
  </si>
  <si>
    <t>Herefordshire Biogas</t>
  </si>
  <si>
    <t>Oxhouse Farm</t>
  </si>
  <si>
    <t>VJ Thomas &amp; Sons</t>
  </si>
  <si>
    <t>Pancross Farm</t>
  </si>
  <si>
    <t>CF62 3AJ</t>
  </si>
  <si>
    <t>Cattle slurry, waste cattle feed, maize silage &amp; grass silage</t>
  </si>
  <si>
    <t>YO43 4AG</t>
  </si>
  <si>
    <t>Griffiths Oak Ltd</t>
  </si>
  <si>
    <t>Park Farm AD</t>
  </si>
  <si>
    <t>LN8 3YJ</t>
  </si>
  <si>
    <t>R Pinches</t>
  </si>
  <si>
    <t>Park House Farm (Shawbury)</t>
  </si>
  <si>
    <t>SY4 4NP</t>
  </si>
  <si>
    <t>Crops, poultry litter &amp; grass silage</t>
  </si>
  <si>
    <t>Ludlow Bioenergy</t>
  </si>
  <si>
    <t>Park Lane</t>
  </si>
  <si>
    <t>SY8 4AJ</t>
  </si>
  <si>
    <t>Maize &amp; energy beet</t>
  </si>
  <si>
    <t>Parley Renewable Energy Park</t>
  </si>
  <si>
    <t>BH23 6BG</t>
  </si>
  <si>
    <t>Maize &amp; food waste</t>
  </si>
  <si>
    <t>PAS Grantham</t>
  </si>
  <si>
    <t>PAS Grantham AD</t>
  </si>
  <si>
    <t>NG33 5AY</t>
  </si>
  <si>
    <t>TD Forster &amp; Son</t>
  </si>
  <si>
    <t>Peacehill Farm</t>
  </si>
  <si>
    <t>DD6 8PJ</t>
  </si>
  <si>
    <t>Rye, grass silage, energy beet, pot ale syrup, potato outgrades, vegetable cuttings &amp; poultry manure</t>
  </si>
  <si>
    <t>Welland Waste Management</t>
  </si>
  <si>
    <t>Pebble Hall Farm</t>
  </si>
  <si>
    <t>LE17 6NJ</t>
  </si>
  <si>
    <t>B &amp; J Lloyd</t>
  </si>
  <si>
    <t>Pencefn Drysgol AD</t>
  </si>
  <si>
    <t>SY25 6NH</t>
  </si>
  <si>
    <t>Pengelly Farms</t>
  </si>
  <si>
    <t>Pengelly Barton AD</t>
  </si>
  <si>
    <t>TR13 9NG</t>
  </si>
  <si>
    <t>Poultry litter, potatoes, maize &amp; beet</t>
  </si>
  <si>
    <t>Penllan Farm</t>
  </si>
  <si>
    <t>HR2 0SU</t>
  </si>
  <si>
    <t>Syrus Energy</t>
  </si>
  <si>
    <t>Pennans Farm</t>
  </si>
  <si>
    <t>TR2 4RQ</t>
  </si>
  <si>
    <t>Slurries &amp; energy crops</t>
  </si>
  <si>
    <t>Brocklesby Energy Company Limited</t>
  </si>
  <si>
    <t>Pimlico Farm</t>
  </si>
  <si>
    <t>DN37 8LL</t>
  </si>
  <si>
    <t>Maize &amp; grass</t>
  </si>
  <si>
    <t>Pinguin Foods</t>
  </si>
  <si>
    <t>PE30 4LR</t>
  </si>
  <si>
    <t>Food waste &amp; cereal crops</t>
  </si>
  <si>
    <t>GE Hunt &amp; Son</t>
  </si>
  <si>
    <t>Plusterwine House</t>
  </si>
  <si>
    <t>GL15 6PN</t>
  </si>
  <si>
    <t>Maize Silage, poultry manure &amp; cattle slurry</t>
  </si>
  <si>
    <t>CG Bayston &amp; Son</t>
  </si>
  <si>
    <t>Pollington Grange AD</t>
  </si>
  <si>
    <t>DN14 0DY</t>
  </si>
  <si>
    <t>Crops and crop residues</t>
  </si>
  <si>
    <t>Ponsonby Old Hall Farm</t>
  </si>
  <si>
    <t>CA20 1BX</t>
  </si>
  <si>
    <t>Grass silage, crop residues, manure &amp; slurry</t>
  </si>
  <si>
    <t>Pool Wharf</t>
  </si>
  <si>
    <t>Pool Wharf AD</t>
  </si>
  <si>
    <t>HR2 8DR</t>
  </si>
  <si>
    <t>Poplars Landfill AD</t>
  </si>
  <si>
    <t>WS11 8NQ</t>
  </si>
  <si>
    <t>Portgordon Maltings Beyside</t>
  </si>
  <si>
    <t>AB56 5BU</t>
  </si>
  <si>
    <t>Draff and Pot Ale</t>
  </si>
  <si>
    <t>Longner Energy</t>
  </si>
  <si>
    <t>Preston Boats Farm</t>
  </si>
  <si>
    <t>SY4 4TB</t>
  </si>
  <si>
    <t>JB Lewis &amp; Son</t>
  </si>
  <si>
    <t>Priors Halton Farm</t>
  </si>
  <si>
    <t>SY8 2JN</t>
  </si>
  <si>
    <t>Cattle manure, pig manure, grass silage &amp; maize</t>
  </si>
  <si>
    <t>Granville Energy Supply Ltd</t>
  </si>
  <si>
    <t>Pritchitts AD</t>
  </si>
  <si>
    <t>BT23 4TU</t>
  </si>
  <si>
    <t>Pure Malt Products</t>
  </si>
  <si>
    <t>EH41 4BD</t>
  </si>
  <si>
    <t>Food production residues &amp; brewery waste</t>
  </si>
  <si>
    <t>Johnson Brothers</t>
  </si>
  <si>
    <t>Quarrington Farm</t>
  </si>
  <si>
    <t>DH6 5NN</t>
  </si>
  <si>
    <t>Animal manures, energy crops &amp; potato waste</t>
  </si>
  <si>
    <t>R100 Energy AD</t>
  </si>
  <si>
    <t>DN14 7NG</t>
  </si>
  <si>
    <t>Railway Farm AD</t>
  </si>
  <si>
    <t>Rainbarrow Farm</t>
  </si>
  <si>
    <t>DT2 9JF</t>
  </si>
  <si>
    <t>Maize, rye, grass, potatoe &amp; food waste</t>
  </si>
  <si>
    <t>D Finlay &amp; Son</t>
  </si>
  <si>
    <t>Rainton Farm</t>
  </si>
  <si>
    <t>DG7 2DR</t>
  </si>
  <si>
    <t>Thanet Waste Services</t>
  </si>
  <si>
    <t>Ramsgate Road AD</t>
  </si>
  <si>
    <t>CT13 9ST</t>
  </si>
  <si>
    <t>Rattys Lane Sustainable Energy Facility</t>
  </si>
  <si>
    <t>EN11 0RF</t>
  </si>
  <si>
    <t>Reaseheath College</t>
  </si>
  <si>
    <t>CW5 6DF</t>
  </si>
  <si>
    <t>Redstow Renewables</t>
  </si>
  <si>
    <t>PE37 7QA</t>
  </si>
  <si>
    <t>NR10 4DU</t>
  </si>
  <si>
    <t xml:space="preserve">Mazie, grass silage &amp; sugar beet </t>
  </si>
  <si>
    <t>ReFood Doncaster AD</t>
  </si>
  <si>
    <t>DN5 9SW</t>
  </si>
  <si>
    <t>ReFood Widnes</t>
  </si>
  <si>
    <t>WA8 0PB</t>
  </si>
  <si>
    <t>CRS Bio Ltd</t>
  </si>
  <si>
    <t>Reydon AD</t>
  </si>
  <si>
    <t>IP18 6SG</t>
  </si>
  <si>
    <t>Rhosddu Farm</t>
  </si>
  <si>
    <t>Rhosddu Farm AD</t>
  </si>
  <si>
    <t>SY22 6TH</t>
  </si>
  <si>
    <t>G &amp; T Lloyd Jones</t>
  </si>
  <si>
    <t>Rhydonnen AD</t>
  </si>
  <si>
    <t>LL20 7AJ</t>
  </si>
  <si>
    <t>Ridge Road Farm</t>
  </si>
  <si>
    <t>LS25 3DL</t>
  </si>
  <si>
    <t>Hybrid rye &amp; sugar beet</t>
  </si>
  <si>
    <t>Riverside Bio/Bio Collectors</t>
  </si>
  <si>
    <t>Riverside AD</t>
  </si>
  <si>
    <t>CR4 4NA</t>
  </si>
  <si>
    <t>Riverview Farms</t>
  </si>
  <si>
    <t>BT78 4LA</t>
  </si>
  <si>
    <t>InSource Energy</t>
  </si>
  <si>
    <t>Rogerstone Park</t>
  </si>
  <si>
    <t>NP10 9SA</t>
  </si>
  <si>
    <t>Food waste &amp; potato processing wastes</t>
  </si>
  <si>
    <t>Rose Hill Recycling</t>
  </si>
  <si>
    <t>GL18 2EF</t>
  </si>
  <si>
    <t>Food waste, animal processing waste &amp; energy crops</t>
  </si>
  <si>
    <t>P Farrow</t>
  </si>
  <si>
    <t>Rose Villa Farm</t>
  </si>
  <si>
    <t>DL10 6LU</t>
  </si>
  <si>
    <t>Cattle slurry, grass silage &amp; maize</t>
  </si>
  <si>
    <t>Roseisle Speyside Whisky Distillery</t>
  </si>
  <si>
    <t>IV30 5YP</t>
  </si>
  <si>
    <t>DH8 7ND</t>
  </si>
  <si>
    <t>Grass silage, maize silage &amp; wholecrop silage</t>
  </si>
  <si>
    <t>JE Hartley</t>
  </si>
  <si>
    <t>Roth Hill AD</t>
  </si>
  <si>
    <t>Vegetable outgrades &amp; grass silage</t>
  </si>
  <si>
    <t>Springhill Farms</t>
  </si>
  <si>
    <t>Rotherdale Farm</t>
  </si>
  <si>
    <t>WR10 2LA</t>
  </si>
  <si>
    <t>Energy crop, cattle manure &amp; poultry manure</t>
  </si>
  <si>
    <t>Royal Brewery</t>
  </si>
  <si>
    <t>M15 6LD</t>
  </si>
  <si>
    <t>TA18 7PH</t>
  </si>
  <si>
    <t>Cattle slurry, farm yard manure &amp; waste feed</t>
  </si>
  <si>
    <t>GWE Biogas</t>
  </si>
  <si>
    <t>Sandhill AD</t>
  </si>
  <si>
    <t>YO25 9DR</t>
  </si>
  <si>
    <t>AB41 6AL</t>
  </si>
  <si>
    <t>Grass silage, rye, beet, straw &amp; manure</t>
  </si>
  <si>
    <t>Sefter Farm</t>
  </si>
  <si>
    <t>PO21 3PX</t>
  </si>
  <si>
    <t>Sweetcorn husks &amp; cattle slurry</t>
  </si>
  <si>
    <t>G Winters</t>
  </si>
  <si>
    <t>Shannargh Road AD</t>
  </si>
  <si>
    <t>BT78 3EJ</t>
  </si>
  <si>
    <t>Molson Coors</t>
  </si>
  <si>
    <t>Sharps Brewery</t>
  </si>
  <si>
    <t>PL27 6NU</t>
  </si>
  <si>
    <t>Sheffield Sustainable Industries Park</t>
  </si>
  <si>
    <t>S6 1QT</t>
  </si>
  <si>
    <t>Sheppey Energy Ltd</t>
  </si>
  <si>
    <t>ME12 3SU</t>
  </si>
  <si>
    <t>Straw, rye &amp; fruit &amp; vegetable outgrades</t>
  </si>
  <si>
    <t>DN38 6AE</t>
  </si>
  <si>
    <t>Maize, sugarbeet &amp; pig slurry</t>
  </si>
  <si>
    <t>Aberdeenshire</t>
  </si>
  <si>
    <t>Brewdog PLC</t>
  </si>
  <si>
    <t>Site 8 Brewdog</t>
  </si>
  <si>
    <t>AB41 8BX</t>
  </si>
  <si>
    <t>Waste from brewery</t>
  </si>
  <si>
    <t>Mr Johnston</t>
  </si>
  <si>
    <t>Skirwith Abbey Farm</t>
  </si>
  <si>
    <t>CA10 1RQ</t>
  </si>
  <si>
    <t>J Forbes</t>
  </si>
  <si>
    <t>Slains Park Farm</t>
  </si>
  <si>
    <t>DD10 0SY</t>
  </si>
  <si>
    <t>Energy crops, farm yard manure &amp; brewery effluents</t>
  </si>
  <si>
    <t>Smeathalls Farm</t>
  </si>
  <si>
    <t>WF11 9LZ</t>
  </si>
  <si>
    <t>Maize silage, grass silage &amp; poultry manure</t>
  </si>
  <si>
    <t>Kemble Farms</t>
  </si>
  <si>
    <t>Smerrill Generating Plant</t>
  </si>
  <si>
    <t>GL7 6BD</t>
  </si>
  <si>
    <t>Cattle slurry, maize silage &amp; grass silage</t>
  </si>
  <si>
    <t>Smurfit Kappa UK Ltd</t>
  </si>
  <si>
    <t>Smurfit Kappa SSK AD</t>
  </si>
  <si>
    <t>B7 5RE</t>
  </si>
  <si>
    <t>Smurfit Kappa Townsend Hook AD</t>
  </si>
  <si>
    <t>ME6 5AX</t>
  </si>
  <si>
    <t>E Burrough</t>
  </si>
  <si>
    <t>Snowdon Hill Farm</t>
  </si>
  <si>
    <t>TA20 3PS</t>
  </si>
  <si>
    <t xml:space="preserve">Cattle, maize &amp; grass silage </t>
  </si>
  <si>
    <t>South Kirkby Business Park</t>
  </si>
  <si>
    <t>WF9 4DG</t>
  </si>
  <si>
    <t>South Manchester Resource Recovery Centre</t>
  </si>
  <si>
    <t>M22 4RQ</t>
  </si>
  <si>
    <t>Biocycle</t>
  </si>
  <si>
    <t>South Shropshire Biowaste Digester</t>
  </si>
  <si>
    <t>SY8 1XE</t>
  </si>
  <si>
    <t>CF33 4RS</t>
  </si>
  <si>
    <t>AGTEC/Milbury Systems</t>
  </si>
  <si>
    <t>Spalford AD</t>
  </si>
  <si>
    <t>NG23</t>
  </si>
  <si>
    <t>Spittles Farm</t>
  </si>
  <si>
    <t>BA22 8AU</t>
  </si>
  <si>
    <t>Corner Renewable Energy</t>
  </si>
  <si>
    <t>NR10 4DT</t>
  </si>
  <si>
    <t>Springhill Nurseries</t>
  </si>
  <si>
    <t>Springhill Farm</t>
  </si>
  <si>
    <t>WR10 2PE</t>
  </si>
  <si>
    <t>Energy crops &amp; vegetable outgrades</t>
  </si>
  <si>
    <t>Springvale Energies</t>
  </si>
  <si>
    <t>Springvale Farm</t>
  </si>
  <si>
    <t>NG22 0PS</t>
  </si>
  <si>
    <t>Energy beet, grass silage &amp; maize silage</t>
  </si>
  <si>
    <t>Jones Brothers</t>
  </si>
  <si>
    <t>St Merryn Meat AD</t>
  </si>
  <si>
    <t>CF48 2TA</t>
  </si>
  <si>
    <t>Maize &amp; abbatoir waste</t>
  </si>
  <si>
    <t>St Nicholas Court Farm</t>
  </si>
  <si>
    <t>CT7 0NJ</t>
  </si>
  <si>
    <t>Maize silage, grass silage, rye grass, sugar beet &amp; outgrade fruit &amp; vegetables</t>
  </si>
  <si>
    <t>JG Shanks &amp; Son</t>
  </si>
  <si>
    <t>Standhill Farm</t>
  </si>
  <si>
    <t>TD9 8SF</t>
  </si>
  <si>
    <t>Farm Generation Ltd/Fylde Fresh &amp; Fabulous</t>
  </si>
  <si>
    <t>Stanley Villa Farm</t>
  </si>
  <si>
    <t>PR4 3HS</t>
  </si>
  <si>
    <t>Grass silage, potato peelings &amp; animal slurry</t>
  </si>
  <si>
    <t>Northwick Biogas</t>
  </si>
  <si>
    <t>Stanley's Quarry</t>
  </si>
  <si>
    <t>Animal manures, food waste &amp; organic fraction of MSW</t>
  </si>
  <si>
    <t>Cory Environmental</t>
  </si>
  <si>
    <t>Staples Vegetables</t>
  </si>
  <si>
    <t>PE22 9HE</t>
  </si>
  <si>
    <t>Vegetable outgrades &amp; maize silage</t>
  </si>
  <si>
    <t>Staples Brothers Ltd</t>
  </si>
  <si>
    <t>Station Farm</t>
  </si>
  <si>
    <t xml:space="preserve">PE22 0SE </t>
  </si>
  <si>
    <t>Vegetable outgrades &amp; maize</t>
  </si>
  <si>
    <t>Station Works</t>
  </si>
  <si>
    <t>CM6 2NG</t>
  </si>
  <si>
    <t>Heaths of Stockton</t>
  </si>
  <si>
    <t>Stockton Grange</t>
  </si>
  <si>
    <t>TF10 9BA</t>
  </si>
  <si>
    <t>Stoke Bardolph Crop AD Facility</t>
  </si>
  <si>
    <t>NG14 5HJ</t>
  </si>
  <si>
    <t>AJ Butler &amp; Sons</t>
  </si>
  <si>
    <t>Stokes Marsh Farm</t>
  </si>
  <si>
    <t>BA13 4NZ</t>
  </si>
  <si>
    <t>G Huey</t>
  </si>
  <si>
    <t>Strabane Road AD</t>
  </si>
  <si>
    <t>BT81 7JT</t>
  </si>
  <si>
    <t>Stragglethorpe Grainstore</t>
  </si>
  <si>
    <t>Maize, wholecrop cereal &amp; beet</t>
  </si>
  <si>
    <t>B Mehaffy</t>
  </si>
  <si>
    <t>Strahans Road AD</t>
  </si>
  <si>
    <t>BT82 9SG</t>
  </si>
  <si>
    <t>Stublach Farm</t>
  </si>
  <si>
    <t>CW10 9NE</t>
  </si>
  <si>
    <t>Marston St. Lawrence Estate</t>
  </si>
  <si>
    <t>Stuchbury Manor Farm</t>
  </si>
  <si>
    <t>OX17 2DQ</t>
  </si>
  <si>
    <t>Animal slurries, maize &amp; grass silage</t>
  </si>
  <si>
    <t>Stud Farm</t>
  </si>
  <si>
    <t>NG22 9HB</t>
  </si>
  <si>
    <t>Maize silage, vegetable outgrades &amp; poultry manure</t>
  </si>
  <si>
    <t>Agrigen</t>
  </si>
  <si>
    <t>Suffolk Produce</t>
  </si>
  <si>
    <t>IP12 2TW</t>
  </si>
  <si>
    <t>Energy crops, sugar beet pulp, poultry manure, brewers grains &amp; vegetable outgrades</t>
  </si>
  <si>
    <t>Summer Farm</t>
  </si>
  <si>
    <t>NN6 7SQ</t>
  </si>
  <si>
    <t>Waste Recycling Group</t>
  </si>
  <si>
    <t>Sutton Courtenay AD</t>
  </si>
  <si>
    <t>OX14 4PW</t>
  </si>
  <si>
    <t>Fred Walter &amp; Son/Biogen</t>
  </si>
  <si>
    <t>Sutton Grange AD</t>
  </si>
  <si>
    <t>DN22 8SB</t>
  </si>
  <si>
    <t>Pig slurry, maize &amp; vegetable outgrades</t>
  </si>
  <si>
    <t>Swancote Farm</t>
  </si>
  <si>
    <t>WV15 5HB</t>
  </si>
  <si>
    <t>J &amp; B Vaughan</t>
  </si>
  <si>
    <t>Sychtyn AD</t>
  </si>
  <si>
    <t>SY21 0JF</t>
  </si>
  <si>
    <t>Energy crops &amp; slurries</t>
  </si>
  <si>
    <t>Symonds Farm Power Ltd</t>
  </si>
  <si>
    <t>IP28 6RE</t>
  </si>
  <si>
    <t>Maize, pig slurry &amp; vegetable outgrades</t>
  </si>
  <si>
    <t>Syrior CYF</t>
  </si>
  <si>
    <t>Syrior Farm AD</t>
  </si>
  <si>
    <t>LL21 0TA</t>
  </si>
  <si>
    <t>SA43 1RD</t>
  </si>
  <si>
    <t>HC, FM &amp; IC Williams</t>
  </si>
  <si>
    <t>Tain Y Foel Farm</t>
  </si>
  <si>
    <t>LL21 9TD</t>
  </si>
  <si>
    <t>Tambowie Biogas</t>
  </si>
  <si>
    <t>Tambowie Farm</t>
  </si>
  <si>
    <t>G62 7HN</t>
  </si>
  <si>
    <t>Energy crops, pot ale syrup &amp; distillery draff</t>
  </si>
  <si>
    <t>B Lilburn</t>
  </si>
  <si>
    <t>Taughlumny Road AD</t>
  </si>
  <si>
    <t>BT66 7NX</t>
  </si>
  <si>
    <t>Aberdeen City Council</t>
  </si>
  <si>
    <t>TECA AD</t>
  </si>
  <si>
    <t xml:space="preserve">Liquid food waste, municipal grass cutting, grass silage, energy beet, hybrid rye silage, wholecrop silages, distillers draff, pot ale syrup, ferric chloride </t>
  </si>
  <si>
    <t>BF Biogas</t>
  </si>
  <si>
    <t>Teeside Green Energy Plant</t>
  </si>
  <si>
    <t>H&amp;H Land &amp; Property</t>
  </si>
  <si>
    <t>Tempest Tower Farm</t>
  </si>
  <si>
    <t>CA5 6EP</t>
  </si>
  <si>
    <t>S Lifely</t>
  </si>
  <si>
    <t>The Farm AD</t>
  </si>
  <si>
    <t>HR1 3QY</t>
  </si>
  <si>
    <t>The Glebe</t>
  </si>
  <si>
    <t>CA6 6EZ</t>
  </si>
  <si>
    <t>M Clayton</t>
  </si>
  <si>
    <t>The Green</t>
  </si>
  <si>
    <t>TA4 2RU</t>
  </si>
  <si>
    <t>Horse manure &amp; energy crops</t>
  </si>
  <si>
    <t>Vale Green Energy</t>
  </si>
  <si>
    <t>The Homme Farm</t>
  </si>
  <si>
    <t>WR10 2JH</t>
  </si>
  <si>
    <t>Biogas from Springhill Farm</t>
  </si>
  <si>
    <t>Shed Field Growers</t>
  </si>
  <si>
    <t>The Leen AD</t>
  </si>
  <si>
    <t>HR6 9HN</t>
  </si>
  <si>
    <t>Slurry, maize, energy beet &amp; poultry litter</t>
  </si>
  <si>
    <t>The Produce Connection</t>
  </si>
  <si>
    <t>CB25 9PZ</t>
  </si>
  <si>
    <t>The Rhyse Farm</t>
  </si>
  <si>
    <t>SY8 4AE</t>
  </si>
  <si>
    <t>Stoke By Nayland Club Ltd</t>
  </si>
  <si>
    <t>The Stoke By Nayland Club AD</t>
  </si>
  <si>
    <t>CO6 4PZ</t>
  </si>
  <si>
    <t>Pomace &amp; maize</t>
  </si>
  <si>
    <t>Thornfield Energy</t>
  </si>
  <si>
    <t>TF6 6QX</t>
  </si>
  <si>
    <t>Thornton Waste Technology Park</t>
  </si>
  <si>
    <t>FY7 8RY</t>
  </si>
  <si>
    <t>S Carson</t>
  </si>
  <si>
    <t>Tievenny Road AD</t>
  </si>
  <si>
    <t>BT82 9LW</t>
  </si>
  <si>
    <t>Greenheath Farming</t>
  </si>
  <si>
    <t>Toggam Farm</t>
  </si>
  <si>
    <t>IP27 9LN</t>
  </si>
  <si>
    <t>Tomorrow's Valley</t>
  </si>
  <si>
    <t>CF44 0BX</t>
  </si>
  <si>
    <t>Toomebridge AD</t>
  </si>
  <si>
    <t>M Kelly</t>
  </si>
  <si>
    <t>Toomog Road AD</t>
  </si>
  <si>
    <t>BT70 3BL</t>
  </si>
  <si>
    <t>Tower Brewery</t>
  </si>
  <si>
    <t>LS24 9JN</t>
  </si>
  <si>
    <t>M Quinn</t>
  </si>
  <si>
    <t>Tregeen Farm AD</t>
  </si>
  <si>
    <t>PL32 9SN</t>
  </si>
  <si>
    <t>Unspecified</t>
  </si>
  <si>
    <t>Trevase Farm</t>
  </si>
  <si>
    <t>HR2 8ND</t>
  </si>
  <si>
    <t>Trinity Hall Farm</t>
  </si>
  <si>
    <t>LU7 9PY</t>
  </si>
  <si>
    <t>Tully Quarry</t>
  </si>
  <si>
    <t>BT42 3HJ</t>
  </si>
  <si>
    <t>Poultry litter/Manure</t>
  </si>
  <si>
    <t>WD &amp; S Bothwell</t>
  </si>
  <si>
    <t>Tullyweel Farm</t>
  </si>
  <si>
    <t>PAR Energy</t>
  </si>
  <si>
    <t>Tullywiggan Road AD</t>
  </si>
  <si>
    <t>BT80 8SD</t>
  </si>
  <si>
    <t>Grass silage, pig slurry, cattle slurry &amp; poultry litter</t>
  </si>
  <si>
    <t>Twinwoods</t>
  </si>
  <si>
    <t>MK44 1RL</t>
  </si>
  <si>
    <t>Tyfos Ltd</t>
  </si>
  <si>
    <t>Tyfos Farm AD</t>
  </si>
  <si>
    <t>Welsh Black Beef Direct Ltd</t>
  </si>
  <si>
    <t>Tynddraenen AD</t>
  </si>
  <si>
    <t>SY25 6AL</t>
  </si>
  <si>
    <t>Manure/slurry</t>
  </si>
  <si>
    <t>Universal Beverages</t>
  </si>
  <si>
    <t>HR8 2JT</t>
  </si>
  <si>
    <t>University of Southampton</t>
  </si>
  <si>
    <t>University of Southampton Science Park AD</t>
  </si>
  <si>
    <t>SO16 7NP</t>
  </si>
  <si>
    <t>Food waste &amp; grass silage</t>
  </si>
  <si>
    <t>Usk Vale Poultry Ltd</t>
  </si>
  <si>
    <t>Usk Vale Poultry AD</t>
  </si>
  <si>
    <t>NP4 0TX</t>
  </si>
  <si>
    <t>PH Bioenergy</t>
  </si>
  <si>
    <t>Valley House</t>
  </si>
  <si>
    <t>NG33 4RS</t>
  </si>
  <si>
    <t>Villa Farm</t>
  </si>
  <si>
    <t>PE10 0RZ</t>
  </si>
  <si>
    <t>Pig manure, farm yard manure &amp; ryegrass</t>
  </si>
  <si>
    <t>Village Farm</t>
  </si>
  <si>
    <t>CW7 4DL</t>
  </si>
  <si>
    <t>Vulcan Way Biomass Renewable Energy Facility</t>
  </si>
  <si>
    <t>DN7 6EE</t>
  </si>
  <si>
    <t>Waen Biogas</t>
  </si>
  <si>
    <t>LL17 0DS</t>
  </si>
  <si>
    <t>Walford &amp; North Shropshire College</t>
  </si>
  <si>
    <t>Walford &amp; North Shropshire College Farm</t>
  </si>
  <si>
    <t>SY4 2HL</t>
  </si>
  <si>
    <t>Wallingford AD</t>
  </si>
  <si>
    <t>Walpole Landfill AD</t>
  </si>
  <si>
    <t>TA6 4TF</t>
  </si>
  <si>
    <t>Wanlip</t>
  </si>
  <si>
    <t>LE7 4PF</t>
  </si>
  <si>
    <t>DB Agri Ltd</t>
  </si>
  <si>
    <t>Wappingthorn Farm</t>
  </si>
  <si>
    <t>BN44 3AA</t>
  </si>
  <si>
    <t>Wardley Biogas Limited</t>
  </si>
  <si>
    <t>Wardley AD</t>
  </si>
  <si>
    <t>NE10 8YJ</t>
  </si>
  <si>
    <t>Powys LTD</t>
  </si>
  <si>
    <t>Warren Farm</t>
  </si>
  <si>
    <t>LD7 1NY</t>
  </si>
  <si>
    <t>Farm yard manure, crop silage, sugar beet</t>
  </si>
  <si>
    <t>J Gatehouse &amp; Son</t>
  </si>
  <si>
    <t>Warthill Farm</t>
  </si>
  <si>
    <t>SY8 3HL</t>
  </si>
  <si>
    <t>Washfold Farm</t>
  </si>
  <si>
    <t>DL8 5JZ</t>
  </si>
  <si>
    <t>Animal manure</t>
  </si>
  <si>
    <t>Waterbeach</t>
  </si>
  <si>
    <t>CB25 9PG</t>
  </si>
  <si>
    <t>Animal slurries, food waste &amp; animal processing wastes</t>
  </si>
  <si>
    <t>MH Poskitt</t>
  </si>
  <si>
    <t>Weeland Road AD</t>
  </si>
  <si>
    <t>DN14 0SY</t>
  </si>
  <si>
    <t>Vegetable outgrades, energy crops &amp; animal manures</t>
  </si>
  <si>
    <t>Biogas Meden</t>
  </si>
  <si>
    <t>NG20 9PU</t>
  </si>
  <si>
    <t>N Preece</t>
  </si>
  <si>
    <t>Welham Bridge West Farm</t>
  </si>
  <si>
    <t>YO43 4BX</t>
  </si>
  <si>
    <t>Animal manure, silage, maize &amp; whole crop rye</t>
  </si>
  <si>
    <t>Berrys</t>
  </si>
  <si>
    <t>West Birmingham AD Facility (Roundhill)</t>
  </si>
  <si>
    <t>DY7 6PX</t>
  </si>
  <si>
    <t>A Jackson Ltd</t>
  </si>
  <si>
    <t>West Cotes Farm AD</t>
  </si>
  <si>
    <t>NE20 0DG</t>
  </si>
  <si>
    <t>West London AD</t>
  </si>
  <si>
    <t>KT16 0EF</t>
  </si>
  <si>
    <t>J Cunnigham-Jardine</t>
  </si>
  <si>
    <t>West Roucan Farm</t>
  </si>
  <si>
    <t>DG1 3QG</t>
  </si>
  <si>
    <t>HP18 0XB</t>
  </si>
  <si>
    <t>Wester Alves Biogas</t>
  </si>
  <si>
    <t>Wester Alves Farm</t>
  </si>
  <si>
    <t>IV30 8XD</t>
  </si>
  <si>
    <t>Wester Clockeasy Farm</t>
  </si>
  <si>
    <t>IV30 8LP</t>
  </si>
  <si>
    <t>Wester Kerrowgair Farm</t>
  </si>
  <si>
    <t>IV2 7JE</t>
  </si>
  <si>
    <t>Cattle manure, grass silage, wholecrop rye, energy beet, wheat straw &amp; vegetable waste</t>
  </si>
  <si>
    <t>Western Isles Waste Management</t>
  </si>
  <si>
    <t>Western Isles Integrated Waste Management Facility</t>
  </si>
  <si>
    <t>HS2 9JB</t>
  </si>
  <si>
    <t>Westholme Farm</t>
  </si>
  <si>
    <t>YO7 3BP</t>
  </si>
  <si>
    <t>Pig manure &amp; grass silage</t>
  </si>
  <si>
    <t>AB Produce</t>
  </si>
  <si>
    <t>Westminster Industrial Estate</t>
  </si>
  <si>
    <t>DE12 7DT</t>
  </si>
  <si>
    <t>Potato peelings</t>
  </si>
  <si>
    <t>Weston-super-Mare</t>
  </si>
  <si>
    <t>BS22 8NA</t>
  </si>
  <si>
    <t>Westwood AD</t>
  </si>
  <si>
    <t>NN10 0SQ</t>
  </si>
  <si>
    <t>M Chippendale</t>
  </si>
  <si>
    <t>Wharton Hall AD</t>
  </si>
  <si>
    <t>CA17 4LD</t>
  </si>
  <si>
    <t>Midland Pig Producers AD</t>
  </si>
  <si>
    <t>Wheaton Aston Farm</t>
  </si>
  <si>
    <t>ST20 0AU</t>
  </si>
  <si>
    <t>White House Farm</t>
  </si>
  <si>
    <t>Wyke Farms Limited</t>
  </si>
  <si>
    <t>BA10 0PU</t>
  </si>
  <si>
    <t>Pig slurry cattle slurry &amp; forage crops</t>
  </si>
  <si>
    <t>Richard Long</t>
  </si>
  <si>
    <t>Whitehall Farm</t>
  </si>
  <si>
    <t>NR18 9EP</t>
  </si>
  <si>
    <t>Wight Farm Energy</t>
  </si>
  <si>
    <t>Wight Farm</t>
  </si>
  <si>
    <t>R Gough &amp; Son</t>
  </si>
  <si>
    <t>Wigley Farm</t>
  </si>
  <si>
    <t>SY8 3DR</t>
  </si>
  <si>
    <t>Maize silage, poultry litter &amp; animal manure</t>
  </si>
  <si>
    <t>Wigley Farm (phase 2)</t>
  </si>
  <si>
    <t>PlanET Biogas</t>
  </si>
  <si>
    <t>Wilcross Farm</t>
  </si>
  <si>
    <t>BB7 4HP</t>
  </si>
  <si>
    <t>Grass silage, wholecrop silage &amp; cattle slurry</t>
  </si>
  <si>
    <t>H2Energy/ 2 Sisters Food Group</t>
  </si>
  <si>
    <t>Willand AD</t>
  </si>
  <si>
    <t>EX15 2PJ</t>
  </si>
  <si>
    <t>Poultry abbatoir waste, grass silage, sugar beet &amp; maize</t>
  </si>
  <si>
    <t>Willow Farm (Avonmouth)</t>
  </si>
  <si>
    <t>R Gallagher</t>
  </si>
  <si>
    <t>Willsborough Estate</t>
  </si>
  <si>
    <t>BT47 3PD</t>
  </si>
  <si>
    <t>Bioplex Technologies</t>
  </si>
  <si>
    <t>Windover Farm</t>
  </si>
  <si>
    <t>Wingmoor Quarry (West)</t>
  </si>
  <si>
    <t>BK Hinwood &amp; Son</t>
  </si>
  <si>
    <t>Withypool Farm</t>
  </si>
  <si>
    <t>DY14 0DB</t>
  </si>
  <si>
    <t>Farm yard manure, slurry, wholecrop rye, energy beet &amp; maize</t>
  </si>
  <si>
    <t>J Jamieson</t>
  </si>
  <si>
    <t>Woodhead Farm</t>
  </si>
  <si>
    <t>DG12 6QW</t>
  </si>
  <si>
    <t>AP Pearson &amp; Son</t>
  </si>
  <si>
    <t>Woodhouse Nurseries</t>
  </si>
  <si>
    <t>SK9 7UW</t>
  </si>
  <si>
    <t>Woodside Farm</t>
  </si>
  <si>
    <t>IV36 3UA</t>
  </si>
  <si>
    <t>Cattle slurry, energy beet, maize silage &amp; grass silage</t>
  </si>
  <si>
    <t>AV Sheardown &amp; Sons</t>
  </si>
  <si>
    <t>Woolsthorpe Lane AD</t>
  </si>
  <si>
    <t>NG32 1EA</t>
  </si>
  <si>
    <t>Wholecrop cereals</t>
  </si>
  <si>
    <t>Merrivale Farms</t>
  </si>
  <si>
    <t>Works Farm</t>
  </si>
  <si>
    <t>NG13 9JN</t>
  </si>
  <si>
    <t>Maize, wholecrop cereal &amp; animal manure</t>
  </si>
  <si>
    <t>AJM Eavis</t>
  </si>
  <si>
    <t>Worthy Farm AD</t>
  </si>
  <si>
    <t>BA4 4BY</t>
  </si>
  <si>
    <t>Bramham Park Estates</t>
  </si>
  <si>
    <t>Wothersome Grange</t>
  </si>
  <si>
    <t>LS23 6LY</t>
  </si>
  <si>
    <t>Wray House Farm</t>
  </si>
  <si>
    <t>YO17 6UJ</t>
  </si>
  <si>
    <t>Energy crops, potato waste &amp; animal slurries</t>
  </si>
  <si>
    <t>Wrinehill Mill Farm</t>
  </si>
  <si>
    <t>CW3 9DE</t>
  </si>
  <si>
    <t>Wyke Farms</t>
  </si>
  <si>
    <t>Wyke Farms Biogas</t>
  </si>
  <si>
    <t>BA4 6NX</t>
  </si>
  <si>
    <t>Animal slurry &amp; cheese processing waste</t>
  </si>
  <si>
    <t>WH Gittins &amp; Sons</t>
  </si>
  <si>
    <t>Wykey Farm</t>
  </si>
  <si>
    <t>SY4 1JA</t>
  </si>
  <si>
    <t>Energy crops, animal slurries &amp; potato outgrades</t>
  </si>
  <si>
    <t>Manure</t>
  </si>
  <si>
    <t>Totals</t>
  </si>
  <si>
    <t>AVG Imperial Limited</t>
  </si>
  <si>
    <t>Bio Dynamic / Air Liquide</t>
  </si>
  <si>
    <t>BioCapital Ltd</t>
  </si>
  <si>
    <t>Biogen/Ancala</t>
  </si>
  <si>
    <t>Biopower Harlepool</t>
  </si>
  <si>
    <t>Brigg Lane Biogas</t>
  </si>
  <si>
    <t>Broadley Energy Ltd</t>
  </si>
  <si>
    <t xml:space="preserve">Burton Agnes Renewables Ltd </t>
  </si>
  <si>
    <t>Cumbria Biogas</t>
  </si>
  <si>
    <t>DS Smith / E.ON Energy</t>
  </si>
  <si>
    <t>Eco Verde Energy / Privilege Finance</t>
  </si>
  <si>
    <t>Eco Verde Energy / Privilege Finance / Attleborough Eco Electric</t>
  </si>
  <si>
    <t>Egmere Energy AD</t>
  </si>
  <si>
    <t>Enva Organics</t>
  </si>
  <si>
    <t>Essex City Council</t>
  </si>
  <si>
    <t>FKB Farming</t>
  </si>
  <si>
    <t>Global Renewables Lancashire Ltd / Blackpool Council</t>
  </si>
  <si>
    <t>Global Renewables Lancashire Ltd/ Lancashire Council</t>
  </si>
  <si>
    <t>Grange Farm Energy</t>
  </si>
  <si>
    <t>Gravel Pit Farm Biogas</t>
  </si>
  <si>
    <t>Greenan Generation Ltd</t>
  </si>
  <si>
    <t>Greener for Life Energy/Material Change</t>
  </si>
  <si>
    <t>Hallwick Energy / BioWatt</t>
  </si>
  <si>
    <t>Hallwick Energy/Allium Energy</t>
  </si>
  <si>
    <t>Leeming Biogas</t>
  </si>
  <si>
    <t>Little WC &amp; Son</t>
  </si>
  <si>
    <t>Material Change/Strutt &amp; Parker Farms</t>
  </si>
  <si>
    <t>Merlin Renewables</t>
  </si>
  <si>
    <t>Olleco</t>
  </si>
  <si>
    <t>Olleco/Arla Food Ltd</t>
  </si>
  <si>
    <t>North East Scot+Y727+F678:F983</t>
  </si>
  <si>
    <t>Ridge Road Energy Ltd</t>
  </si>
  <si>
    <t>RKE BioGroup / Barfoots Energy</t>
  </si>
  <si>
    <t>RM Brown &amp; Son/Qila Energy</t>
  </si>
  <si>
    <t>Saria &amp; PDM</t>
  </si>
  <si>
    <t>Scotia Gas Networks/DB Consulting and Rights</t>
  </si>
  <si>
    <t>Singleton Birch Ltd</t>
  </si>
  <si>
    <t>St Boswell Biogas</t>
  </si>
  <si>
    <t>Sterling Pharma Solutions/Synergie</t>
  </si>
  <si>
    <t>Stracathro Renewable Energy Ltd</t>
  </si>
  <si>
    <t>Swancote Energy</t>
  </si>
  <si>
    <t>Trinity Organics / Perpetual Next</t>
  </si>
  <si>
    <t>Vulcan Renewables</t>
  </si>
  <si>
    <t>Warren Energy</t>
  </si>
  <si>
    <t>Wilson's Country Ltd</t>
  </si>
  <si>
    <t>Wray House Biogas</t>
  </si>
  <si>
    <t>Amur / Abagri Ltd</t>
  </si>
  <si>
    <t>Imperial Park</t>
  </si>
  <si>
    <t>Rushywood Farm / Green Puffin Ltd</t>
  </si>
  <si>
    <t>DBE Energy</t>
  </si>
  <si>
    <t>Corbiere Renewables</t>
  </si>
  <si>
    <t>East London Biogas</t>
  </si>
  <si>
    <t>GwyriAD</t>
  </si>
  <si>
    <t>Tornagrain AD</t>
  </si>
  <si>
    <t>Holme Bioenergy</t>
  </si>
  <si>
    <t>Local Generation</t>
  </si>
  <si>
    <t>Corner AD</t>
  </si>
  <si>
    <t>CB Bio</t>
  </si>
  <si>
    <t>SS Agri AD Power Facility / Attleborough AD Plant</t>
  </si>
  <si>
    <t>Holkham Estate, Egmere, North Norfolk</t>
  </si>
  <si>
    <t>Warrens Emerald Biogas</t>
  </si>
  <si>
    <t>Condate Biogas</t>
  </si>
  <si>
    <t>Gorst Energy</t>
  </si>
  <si>
    <t>Sustainable Energy Generation (SEG)</t>
  </si>
  <si>
    <t>Red Linhay AD Plant</t>
  </si>
  <si>
    <t>Consett AD Plant</t>
  </si>
  <si>
    <t xml:space="preserve">Milton Farm </t>
  </si>
  <si>
    <t>Helmdon AD</t>
  </si>
  <si>
    <t>Stafford AD</t>
  </si>
  <si>
    <t>Euston Biogas</t>
  </si>
  <si>
    <t>Oak Grove AD</t>
  </si>
  <si>
    <t>Westcott Park</t>
  </si>
  <si>
    <t>Aston Clinton AD</t>
  </si>
  <si>
    <t>Pipers Farm AD</t>
  </si>
  <si>
    <t>Savock Farms AD</t>
  </si>
  <si>
    <t>Gorthill AD</t>
  </si>
  <si>
    <t>Garvagh Road AD 2</t>
  </si>
  <si>
    <t>North London AD Facility</t>
  </si>
  <si>
    <t>South Wales AD Facility</t>
  </si>
  <si>
    <t>Plaxton Bridge AD</t>
  </si>
  <si>
    <t>Cramlington AD</t>
  </si>
  <si>
    <t>Asgard Renewables</t>
  </si>
  <si>
    <t>Binn Farm / Earnside Energy</t>
  </si>
  <si>
    <t>Wilson's Country AD</t>
  </si>
  <si>
    <t>Hogsbrook Farm / Willowglen Renewables</t>
  </si>
  <si>
    <t>LS25 5FP</t>
  </si>
  <si>
    <t>AB21 9TF</t>
  </si>
  <si>
    <t>BA4 6LX</t>
  </si>
  <si>
    <t>PE23 4DE</t>
  </si>
  <si>
    <t>OX29 4FL</t>
  </si>
  <si>
    <t>CA6 6AH</t>
  </si>
  <si>
    <t>BT49 9LT</t>
  </si>
  <si>
    <t>TS6 6AF</t>
  </si>
  <si>
    <t>RM9 6FL</t>
  </si>
  <si>
    <t>EH21 8RY</t>
  </si>
  <si>
    <t>NG12 2JU</t>
  </si>
  <si>
    <t>SO20 6JP</t>
  </si>
  <si>
    <t>AB42 3LJ</t>
  </si>
  <si>
    <t>BT67 0AS</t>
  </si>
  <si>
    <t>G72 2LE</t>
  </si>
  <si>
    <t>DN21 4JD</t>
  </si>
  <si>
    <t>LN1 2QU</t>
  </si>
  <si>
    <t>IV19 1PZ</t>
  </si>
  <si>
    <t>KA26 9PL</t>
  </si>
  <si>
    <t>BT80 0AD</t>
  </si>
  <si>
    <t>BT62 1QW</t>
  </si>
  <si>
    <t>LS25 6AD</t>
  </si>
  <si>
    <t>YO19 6DJ</t>
  </si>
  <si>
    <t>BA12 0FD</t>
  </si>
  <si>
    <t>BT60 4PZ</t>
  </si>
  <si>
    <t>PH13 9NA</t>
  </si>
  <si>
    <t>DD5 3QF</t>
  </si>
  <si>
    <t>HR6 9LB</t>
  </si>
  <si>
    <t>HR9 6LN</t>
  </si>
  <si>
    <t>GL55 6UR</t>
  </si>
  <si>
    <t>NR10 5DF</t>
  </si>
  <si>
    <t>LN7 6RT</t>
  </si>
  <si>
    <t>PE24 4PU</t>
  </si>
  <si>
    <t>B46 1DG</t>
  </si>
  <si>
    <t>AL4 0PG</t>
  </si>
  <si>
    <t>DN21 5SN</t>
  </si>
  <si>
    <t>NE23 7QG</t>
  </si>
  <si>
    <t>IP26 4RJ</t>
  </si>
  <si>
    <t>PO30 3FD</t>
  </si>
  <si>
    <t>Remote CHP</t>
  </si>
  <si>
    <t>Food waste soup</t>
  </si>
  <si>
    <t>Maize and rye</t>
  </si>
  <si>
    <t>Energy crops, animal slurry &amp; food waste</t>
  </si>
  <si>
    <t>Poultry manure, farmyard manure, straw and silage</t>
  </si>
  <si>
    <t>Energy crops &amp; poultry litter</t>
  </si>
  <si>
    <t>Waste solvents</t>
  </si>
  <si>
    <r>
      <t>The</t>
    </r>
    <r>
      <rPr>
        <sz val="11"/>
        <color theme="1" tint="0.34998626667073579"/>
        <rFont val="Lao UI"/>
        <family val="2"/>
      </rPr>
      <t xml:space="preserve"> information provided within this database is linked to the NNFCC's report "Anaerobic Digestion Deployment in the United Kingdom: Eleventh Annual Report", published in May 2024. All references used for its development are discussed therein, with data considered accurate as of March 2024.</t>
    </r>
  </si>
  <si>
    <t>© NNFCC 2024</t>
  </si>
  <si>
    <t>Phone: +44 (0)1904 217182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</si>
</sst>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3" x14ac:knownFonts="1">
    <font>
      <sz val="11"/>
      <color theme="1"/>
      <name val="Calibri"/>
      <family val="2"/>
      <scheme val="minor"/>
    </font>
    <font>
      <sz val="10"/>
      <name val="Arial"/>
      <family val="2"/>
    </font>
    <font>
      <sz val="10"/>
      <name val="Verdana"/>
      <family val="2"/>
    </font>
    <font>
      <sz val="11"/>
      <color theme="1"/>
      <name val="Calibri"/>
      <family val="2"/>
      <scheme val="minor"/>
    </font>
    <font>
      <sz val="7"/>
      <color theme="1" tint="0.249977111117893"/>
      <name val="Lao UI"/>
      <family val="2"/>
    </font>
    <font>
      <b/>
      <sz val="7"/>
      <color theme="1" tint="0.249977111117893"/>
      <name val="Lao UI"/>
      <family val="2"/>
    </font>
    <font>
      <sz val="11"/>
      <color theme="1" tint="0.249977111117893"/>
      <name val="Lao UI"/>
      <family val="2"/>
    </font>
    <font>
      <b/>
      <sz val="11"/>
      <color theme="1" tint="0.249977111117893"/>
      <name val="Lao UI"/>
      <family val="2"/>
    </font>
    <font>
      <sz val="14"/>
      <color theme="1" tint="0.34998626667073579"/>
      <name val="Lao UI"/>
      <family val="2"/>
    </font>
    <font>
      <sz val="11"/>
      <color theme="1" tint="0.34998626667073579"/>
      <name val="Lao UI"/>
      <family val="2"/>
    </font>
    <font>
      <sz val="12"/>
      <color rgb="FF5D9D23"/>
      <name val="Lao UI"/>
      <family val="2"/>
    </font>
    <font>
      <b/>
      <sz val="7"/>
      <color theme="0"/>
      <name val="Lao UI"/>
      <family val="2"/>
    </font>
    <font>
      <b/>
      <sz val="14"/>
      <color theme="0"/>
      <name val="Lao UI"/>
      <family val="2"/>
    </font>
    <font>
      <b/>
      <sz val="14"/>
      <color theme="1" tint="0.249977111117893"/>
      <name val="Lao U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sz val="11"/>
      <name val="Calibri"/>
      <family val="2"/>
      <scheme val="minor"/>
    </font>
    <font>
      <sz val="9"/>
      <color theme="1"/>
      <name val="Calibri"/>
      <family val="2"/>
      <scheme val="minor"/>
    </font>
    <font>
      <b/>
      <sz val="11"/>
      <color theme="0" tint="-4.9989318521683403E-2"/>
      <name val="Arial"/>
      <family val="2"/>
    </font>
    <font>
      <b/>
      <sz val="11"/>
      <color theme="1"/>
      <name val="Arial"/>
      <family val="2"/>
    </font>
    <font>
      <b/>
      <sz val="12"/>
      <color theme="4" tint="-0.499984740745262"/>
      <name val="Arial"/>
      <family val="2"/>
    </font>
    <font>
      <sz val="12"/>
      <color theme="4" tint="-0.499984740745262"/>
      <name val="Arial"/>
      <family val="2"/>
    </font>
    <font>
      <sz val="11"/>
      <color theme="4" tint="-0.499984740745262"/>
      <name val="Arial"/>
      <family val="2"/>
    </font>
    <font>
      <b/>
      <sz val="11"/>
      <name val="Arial"/>
      <family val="2"/>
    </font>
    <font>
      <sz val="11"/>
      <name val="Arial"/>
      <family val="2"/>
    </font>
    <font>
      <sz val="11"/>
      <color theme="0" tint="-4.9989318521683403E-2"/>
      <name val="Arial"/>
      <family val="2"/>
    </font>
    <font>
      <sz val="11"/>
      <color indexed="8"/>
      <name val="Calibri"/>
      <family val="2"/>
      <scheme val="minor"/>
    </font>
    <font>
      <u/>
      <sz val="11"/>
      <color theme="10"/>
      <name val="Calibri"/>
      <family val="2"/>
      <scheme val="minor"/>
    </font>
    <font>
      <sz val="8"/>
      <name val="Calibri"/>
      <family val="2"/>
      <scheme val="minor"/>
    </font>
  </fonts>
  <fills count="45">
    <fill>
      <patternFill patternType="none"/>
    </fill>
    <fill>
      <patternFill patternType="gray125"/>
    </fill>
    <fill>
      <patternFill patternType="solid">
        <fgColor rgb="FFFDFDFD"/>
        <bgColor indexed="64"/>
      </patternFill>
    </fill>
    <fill>
      <patternFill patternType="solid">
        <fgColor theme="0"/>
        <bgColor indexed="64"/>
      </patternFill>
    </fill>
    <fill>
      <patternFill patternType="solid">
        <fgColor rgb="FF0A529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6337778862885"/>
        <bgColor indexed="64"/>
      </patternFill>
    </fill>
    <fill>
      <patternFill patternType="solid">
        <fgColor theme="4"/>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theme="0" tint="-4.9989318521683403E-2"/>
        <bgColor indexed="64"/>
      </patternFill>
    </fill>
    <fill>
      <patternFill patternType="solid">
        <fgColor theme="0" tint="-0.24994659260841701"/>
        <bgColor indexed="64"/>
      </patternFill>
    </fill>
    <fill>
      <patternFill patternType="solid">
        <fgColor theme="9" tint="0.39994506668294322"/>
        <bgColor indexed="64"/>
      </patternFill>
    </fill>
    <fill>
      <patternFill patternType="solid">
        <fgColor theme="8" tint="0.39994506668294322"/>
        <bgColor indexed="64"/>
      </patternFill>
    </fill>
    <fill>
      <patternFill patternType="solid">
        <fgColor theme="0" tint="-0.14996795556505021"/>
        <bgColor indexed="64"/>
      </patternFill>
    </fill>
  </fills>
  <borders count="31">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medium">
        <color theme="0" tint="-0.24997711111789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0" tint="-0.249977111117893"/>
      </right>
      <top style="thin">
        <color theme="0" tint="-0.249977111117893"/>
      </top>
      <bottom style="thin">
        <color theme="0" tint="-0.249977111117893"/>
      </bottom>
      <diagonal/>
    </border>
    <border>
      <left/>
      <right/>
      <top/>
      <bottom style="double">
        <color theme="4"/>
      </bottom>
      <diagonal/>
    </border>
    <border>
      <left/>
      <right/>
      <top/>
      <bottom style="medium">
        <color theme="4"/>
      </bottom>
      <diagonal/>
    </border>
    <border>
      <left style="thin">
        <color theme="4" tint="-0.499984740745262"/>
      </left>
      <right style="thin">
        <color theme="4" tint="-0.499984740745262"/>
      </right>
      <top style="thin">
        <color theme="1" tint="0.34998626667073579"/>
      </top>
      <bottom style="thin">
        <color theme="1" tint="0.34998626667073579"/>
      </bottom>
      <diagonal/>
    </border>
    <border>
      <left style="thin">
        <color theme="4" tint="-0.24994659260841701"/>
      </left>
      <right style="thin">
        <color theme="4" tint="-0.24994659260841701"/>
      </right>
      <top style="thin">
        <color theme="0" tint="-0.499984740745262"/>
      </top>
      <bottom style="thin">
        <color theme="0" tint="-0.499984740745262"/>
      </bottom>
      <diagonal/>
    </border>
    <border>
      <left/>
      <right/>
      <top/>
      <bottom style="thin">
        <color theme="4"/>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0" tint="-0.14996795556505021"/>
      </left>
      <right style="thin">
        <color theme="0" tint="-0.14996795556505021"/>
      </right>
      <top style="thin">
        <color theme="4" tint="-0.24994659260841701"/>
      </top>
      <bottom style="double">
        <color theme="4" tint="-0.24994659260841701"/>
      </bottom>
      <diagonal/>
    </border>
    <border>
      <left style="thin">
        <color theme="4" tint="-0.499984740745262"/>
      </left>
      <right style="thin">
        <color theme="1" tint="0.24994659260841701"/>
      </right>
      <top style="thin">
        <color theme="1" tint="0.34998626667073579"/>
      </top>
      <bottom style="thin">
        <color theme="1" tint="0.34998626667073579"/>
      </bottom>
      <diagonal/>
    </border>
    <border>
      <left style="thin">
        <color theme="0" tint="-0.249977111117893"/>
      </left>
      <right style="thick">
        <color indexed="64"/>
      </right>
      <top style="thin">
        <color theme="0" tint="-0.249977111117893"/>
      </top>
      <bottom style="thin">
        <color theme="0" tint="-0.249977111117893"/>
      </bottom>
      <diagonal/>
    </border>
    <border>
      <left style="thick">
        <color indexed="64"/>
      </left>
      <right style="thin">
        <color theme="0" tint="-0.249977111117893"/>
      </right>
      <top style="thin">
        <color theme="0" tint="-0.249977111117893"/>
      </top>
      <bottom style="thin">
        <color theme="0" tint="-0.249977111117893"/>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theme="0" tint="-0.249977111117893"/>
      </top>
      <bottom style="thin">
        <color theme="0" tint="-0.249977111117893"/>
      </bottom>
      <diagonal/>
    </border>
  </borders>
  <cellStyleXfs count="85">
    <xf numFmtId="0" fontId="0" fillId="0" borderId="0"/>
    <xf numFmtId="0" fontId="2" fillId="0" borderId="0"/>
    <xf numFmtId="0" fontId="1" fillId="0" borderId="0"/>
    <xf numFmtId="0" fontId="1" fillId="0" borderId="0"/>
    <xf numFmtId="43" fontId="3" fillId="0" borderId="0" applyFont="0" applyFill="0" applyBorder="0" applyAlignment="0" applyProtection="0"/>
    <xf numFmtId="0" fontId="1" fillId="0" borderId="0"/>
    <xf numFmtId="0" fontId="14" fillId="0" borderId="6" applyNumberFormat="0" applyFill="0" applyAlignment="0" applyProtection="0"/>
    <xf numFmtId="0" fontId="15" fillId="0" borderId="7" applyNumberFormat="0" applyFill="0" applyAlignment="0" applyProtection="0"/>
    <xf numFmtId="0" fontId="16" fillId="0" borderId="8" applyNumberFormat="0" applyFill="0" applyAlignment="0" applyProtection="0"/>
    <xf numFmtId="0" fontId="16" fillId="0" borderId="0" applyNumberFormat="0" applyFill="0" applyBorder="0" applyAlignment="0" applyProtection="0"/>
    <xf numFmtId="0" fontId="17" fillId="5" borderId="0" applyNumberFormat="0" applyBorder="0" applyAlignment="0" applyProtection="0"/>
    <xf numFmtId="0" fontId="18" fillId="6" borderId="0" applyNumberFormat="0" applyBorder="0" applyAlignment="0" applyProtection="0"/>
    <xf numFmtId="0" fontId="19" fillId="8" borderId="9" applyNumberFormat="0" applyAlignment="0" applyProtection="0"/>
    <xf numFmtId="0" fontId="20" fillId="9" borderId="10" applyNumberFormat="0" applyAlignment="0" applyProtection="0"/>
    <xf numFmtId="0" fontId="21" fillId="9" borderId="9" applyNumberFormat="0" applyAlignment="0" applyProtection="0"/>
    <xf numFmtId="0" fontId="22" fillId="0" borderId="11" applyNumberFormat="0" applyFill="0" applyAlignment="0" applyProtection="0"/>
    <xf numFmtId="0" fontId="23" fillId="10" borderId="12" applyNumberFormat="0" applyAlignment="0" applyProtection="0"/>
    <xf numFmtId="0" fontId="24" fillId="0" borderId="0" applyNumberFormat="0" applyFill="0" applyBorder="0" applyAlignment="0" applyProtection="0"/>
    <xf numFmtId="0" fontId="3" fillId="11" borderId="13" applyNumberFormat="0" applyFont="0" applyAlignment="0" applyProtection="0"/>
    <xf numFmtId="0" fontId="25" fillId="0" borderId="0" applyNumberFormat="0" applyFill="0" applyBorder="0" applyAlignment="0" applyProtection="0"/>
    <xf numFmtId="0" fontId="26" fillId="0" borderId="14" applyNumberFormat="0" applyFill="0" applyAlignment="0" applyProtection="0"/>
    <xf numFmtId="0" fontId="27"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27"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27"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27"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27"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27"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43" fontId="3" fillId="0" borderId="0" applyFon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27" fillId="15" borderId="0" applyNumberFormat="0" applyBorder="0" applyAlignment="0" applyProtection="0"/>
    <xf numFmtId="0" fontId="27" fillId="19" borderId="0" applyNumberFormat="0" applyBorder="0" applyAlignment="0" applyProtection="0"/>
    <xf numFmtId="0" fontId="27" fillId="23"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35" borderId="0" applyNumberFormat="0" applyBorder="0" applyAlignment="0" applyProtection="0"/>
    <xf numFmtId="0" fontId="32" fillId="37" borderId="20" applyProtection="0">
      <alignment horizontal="right" vertical="center" wrapText="1"/>
    </xf>
    <xf numFmtId="3" fontId="30" fillId="38" borderId="16" applyProtection="0">
      <alignment horizontal="right" vertical="center" wrapText="1"/>
    </xf>
    <xf numFmtId="3" fontId="3" fillId="3" borderId="21">
      <alignment horizontal="right" vertical="center" wrapText="1"/>
    </xf>
    <xf numFmtId="3" fontId="30" fillId="39" borderId="16" applyProtection="0">
      <alignment horizontal="right" vertical="center"/>
    </xf>
    <xf numFmtId="3" fontId="30" fillId="36" borderId="16" applyProtection="0">
      <alignment horizontal="right" vertical="center"/>
    </xf>
    <xf numFmtId="3" fontId="3" fillId="3" borderId="0">
      <alignment horizontal="left" vertical="center"/>
    </xf>
    <xf numFmtId="0" fontId="34" fillId="3" borderId="18" applyProtection="0">
      <alignment horizontal="left" vertical="center"/>
    </xf>
    <xf numFmtId="3" fontId="34" fillId="3" borderId="19" applyProtection="0">
      <alignment horizontal="left" vertical="center"/>
    </xf>
    <xf numFmtId="3" fontId="35" fillId="3" borderId="19" applyProtection="0">
      <alignment horizontal="left" vertical="center"/>
    </xf>
    <xf numFmtId="3" fontId="36" fillId="3" borderId="22" applyProtection="0">
      <alignment horizontal="left" vertical="center"/>
    </xf>
    <xf numFmtId="3" fontId="38" fillId="3" borderId="24" applyProtection="0">
      <alignment horizontal="right" vertical="center" wrapText="1"/>
    </xf>
    <xf numFmtId="3" fontId="24" fillId="3" borderId="0" applyProtection="0">
      <alignment horizontal="center" vertical="center"/>
    </xf>
    <xf numFmtId="3" fontId="33" fillId="3" borderId="25" applyProtection="0">
      <alignment vertical="center"/>
    </xf>
    <xf numFmtId="0" fontId="37" fillId="40" borderId="21" applyProtection="0">
      <alignment horizontal="left" vertical="center" wrapText="1"/>
    </xf>
    <xf numFmtId="0" fontId="37" fillId="44" borderId="21" applyProtection="0">
      <alignment horizontal="left" vertical="center" wrapText="1"/>
    </xf>
    <xf numFmtId="0" fontId="37" fillId="41" borderId="21" applyProtection="0">
      <alignment horizontal="left" vertical="center" wrapText="1"/>
    </xf>
    <xf numFmtId="0" fontId="38" fillId="40" borderId="21" applyProtection="0">
      <alignment horizontal="left" vertical="center" wrapText="1" indent="1"/>
    </xf>
    <xf numFmtId="0" fontId="38" fillId="44" borderId="21" applyProtection="0">
      <alignment horizontal="left" vertical="center" wrapText="1" indent="1"/>
    </xf>
    <xf numFmtId="0" fontId="38" fillId="41" borderId="23" applyProtection="0">
      <alignment horizontal="left" vertical="center" wrapText="1" indent="1"/>
    </xf>
    <xf numFmtId="0" fontId="37" fillId="40" borderId="21" applyProtection="0">
      <alignment horizontal="right" vertical="center" wrapText="1"/>
    </xf>
    <xf numFmtId="0" fontId="37" fillId="44" borderId="21" applyProtection="0">
      <alignment horizontal="right" vertical="center" wrapText="1"/>
    </xf>
    <xf numFmtId="0" fontId="33" fillId="41" borderId="21" applyProtection="0">
      <alignment horizontal="right" vertical="center" wrapText="1"/>
    </xf>
    <xf numFmtId="3" fontId="3" fillId="3" borderId="0">
      <alignment horizontal="left" vertical="center"/>
    </xf>
    <xf numFmtId="0" fontId="38" fillId="40" borderId="21" applyProtection="0">
      <alignment horizontal="right" vertical="center" wrapText="1"/>
    </xf>
    <xf numFmtId="0" fontId="38" fillId="44" borderId="21" applyProtection="0">
      <alignment horizontal="right" vertical="center" wrapText="1"/>
    </xf>
    <xf numFmtId="0" fontId="38" fillId="41" borderId="21" applyProtection="0">
      <alignment horizontal="right" vertical="center" wrapText="1"/>
    </xf>
    <xf numFmtId="3" fontId="30" fillId="42" borderId="16" applyProtection="0">
      <alignment horizontal="right" vertical="center" wrapText="1"/>
    </xf>
    <xf numFmtId="0" fontId="32" fillId="37" borderId="20" applyProtection="0">
      <alignment horizontal="left" vertical="center" wrapText="1"/>
    </xf>
    <xf numFmtId="0" fontId="39" fillId="37" borderId="20" applyProtection="0">
      <alignment horizontal="left" vertical="center" wrapText="1" indent="1"/>
    </xf>
    <xf numFmtId="0" fontId="32" fillId="37" borderId="20" applyProtection="0">
      <alignment horizontal="right" vertical="center" wrapText="1"/>
    </xf>
    <xf numFmtId="0" fontId="39" fillId="37" borderId="26" applyProtection="0">
      <alignment horizontal="right" vertical="center" wrapText="1"/>
    </xf>
    <xf numFmtId="3" fontId="30" fillId="43" borderId="16" applyProtection="0">
      <alignment horizontal="right" vertical="center"/>
    </xf>
    <xf numFmtId="3" fontId="31" fillId="3" borderId="0">
      <alignment horizontal="left" vertical="center"/>
    </xf>
    <xf numFmtId="3" fontId="40" fillId="41" borderId="15"/>
    <xf numFmtId="3" fontId="41" fillId="3" borderId="0" applyNumberFormat="0" applyFill="0" applyBorder="0" applyAlignment="0" applyProtection="0">
      <alignment horizontal="left" vertical="center" wrapText="1"/>
    </xf>
    <xf numFmtId="0" fontId="32" fillId="37" borderId="20" applyProtection="0">
      <alignment horizontal="left" vertical="center" wrapText="1"/>
    </xf>
    <xf numFmtId="9" fontId="3" fillId="0" borderId="0" applyFont="0" applyFill="0" applyBorder="0" applyAlignment="0" applyProtection="0"/>
  </cellStyleXfs>
  <cellXfs count="64">
    <xf numFmtId="0" fontId="0" fillId="0" borderId="0" xfId="0"/>
    <xf numFmtId="0" fontId="6" fillId="3" borderId="0" xfId="0" applyFont="1" applyFill="1"/>
    <xf numFmtId="0" fontId="7" fillId="3" borderId="0" xfId="0" applyFont="1" applyFill="1"/>
    <xf numFmtId="0" fontId="0" fillId="0" borderId="0" xfId="0" applyAlignment="1">
      <alignment wrapText="1"/>
    </xf>
    <xf numFmtId="0" fontId="4" fillId="2" borderId="0" xfId="0" applyFont="1" applyFill="1" applyAlignment="1">
      <alignment horizontal="left" vertical="top" wrapText="1"/>
    </xf>
    <xf numFmtId="0" fontId="4" fillId="3" borderId="0" xfId="0" applyFont="1" applyFill="1" applyAlignment="1">
      <alignment horizontal="left" vertical="top" wrapText="1"/>
    </xf>
    <xf numFmtId="3" fontId="5" fillId="3" borderId="0" xfId="4" applyNumberFormat="1" applyFont="1" applyFill="1" applyBorder="1" applyAlignment="1">
      <alignment horizontal="left" wrapText="1"/>
    </xf>
    <xf numFmtId="0" fontId="10" fillId="3" borderId="0" xfId="0" applyFont="1" applyFill="1" applyAlignment="1">
      <alignment vertical="center" wrapText="1"/>
    </xf>
    <xf numFmtId="0" fontId="6" fillId="3" borderId="5" xfId="0" applyFont="1" applyFill="1" applyBorder="1"/>
    <xf numFmtId="0" fontId="6" fillId="3" borderId="3" xfId="0" applyFont="1" applyFill="1" applyBorder="1" applyAlignment="1">
      <alignment vertical="top"/>
    </xf>
    <xf numFmtId="0" fontId="6" fillId="3" borderId="3" xfId="0" applyFont="1" applyFill="1" applyBorder="1"/>
    <xf numFmtId="0" fontId="6" fillId="3" borderId="0" xfId="0" applyFont="1" applyFill="1" applyAlignment="1">
      <alignment vertical="top"/>
    </xf>
    <xf numFmtId="0" fontId="4" fillId="2" borderId="0" xfId="0" applyFont="1" applyFill="1" applyAlignment="1">
      <alignment horizontal="center" vertical="top" wrapText="1"/>
    </xf>
    <xf numFmtId="0" fontId="4" fillId="3" borderId="1" xfId="0" applyFont="1" applyFill="1" applyBorder="1" applyAlignment="1" applyProtection="1">
      <alignment horizontal="left" vertical="top" wrapText="1" readingOrder="1"/>
      <protection locked="0"/>
    </xf>
    <xf numFmtId="0" fontId="4" fillId="3" borderId="0" xfId="0" applyFont="1" applyFill="1" applyAlignment="1">
      <alignment horizontal="right" vertical="top" wrapText="1"/>
    </xf>
    <xf numFmtId="0" fontId="4" fillId="2" borderId="0" xfId="0" applyFont="1" applyFill="1" applyAlignment="1">
      <alignment horizontal="right" vertical="top" wrapText="1"/>
    </xf>
    <xf numFmtId="0" fontId="4" fillId="3" borderId="0" xfId="0" applyFont="1" applyFill="1" applyAlignment="1">
      <alignment horizontal="center" vertical="top" wrapText="1"/>
    </xf>
    <xf numFmtId="0" fontId="5" fillId="3" borderId="0" xfId="0" applyFont="1" applyFill="1" applyAlignment="1">
      <alignment horizontal="right" vertical="top" wrapText="1"/>
    </xf>
    <xf numFmtId="0" fontId="5" fillId="2" borderId="0" xfId="0" applyFont="1" applyFill="1" applyAlignment="1">
      <alignment horizontal="right" vertical="top" wrapText="1"/>
    </xf>
    <xf numFmtId="0" fontId="13" fillId="3" borderId="1" xfId="0" applyFont="1" applyFill="1" applyBorder="1" applyAlignment="1">
      <alignment horizontal="right" vertical="center" wrapText="1"/>
    </xf>
    <xf numFmtId="0" fontId="4" fillId="3" borderId="1" xfId="5" applyFont="1" applyFill="1" applyBorder="1" applyAlignment="1" applyProtection="1">
      <alignment horizontal="left" vertical="top" wrapText="1" readingOrder="1"/>
      <protection locked="0"/>
    </xf>
    <xf numFmtId="164" fontId="4" fillId="3" borderId="2" xfId="4" applyNumberFormat="1" applyFont="1" applyFill="1" applyBorder="1" applyAlignment="1" applyProtection="1">
      <alignment vertical="top" wrapText="1" readingOrder="1"/>
      <protection locked="0"/>
    </xf>
    <xf numFmtId="164" fontId="4" fillId="3" borderId="1" xfId="4" applyNumberFormat="1" applyFont="1" applyFill="1" applyBorder="1" applyAlignment="1" applyProtection="1">
      <alignment horizontal="right" vertical="top" wrapText="1" readingOrder="1"/>
      <protection locked="0"/>
    </xf>
    <xf numFmtId="164" fontId="4" fillId="3" borderId="27" xfId="84" applyNumberFormat="1" applyFont="1" applyFill="1" applyBorder="1" applyAlignment="1" applyProtection="1">
      <alignment vertical="top" wrapText="1" readingOrder="1"/>
      <protection locked="0"/>
    </xf>
    <xf numFmtId="0" fontId="4" fillId="3" borderId="28" xfId="0" applyFont="1" applyFill="1" applyBorder="1" applyAlignment="1" applyProtection="1">
      <alignment horizontal="left" vertical="top" wrapText="1" readingOrder="1"/>
      <protection locked="0"/>
    </xf>
    <xf numFmtId="0" fontId="4" fillId="3" borderId="27" xfId="5" applyFont="1" applyFill="1" applyBorder="1" applyAlignment="1" applyProtection="1">
      <alignment horizontal="left" vertical="top" wrapText="1" readingOrder="1"/>
      <protection locked="0"/>
    </xf>
    <xf numFmtId="0" fontId="4" fillId="3" borderId="17" xfId="0" applyFont="1" applyFill="1" applyBorder="1" applyAlignment="1" applyProtection="1">
      <alignment horizontal="left" vertical="top" wrapText="1" readingOrder="1"/>
      <protection locked="0"/>
    </xf>
    <xf numFmtId="0" fontId="4" fillId="3" borderId="1" xfId="0" applyFont="1" applyFill="1" applyBorder="1" applyAlignment="1" applyProtection="1">
      <alignment horizontal="right" vertical="top" wrapText="1" readingOrder="1"/>
      <protection locked="0"/>
    </xf>
    <xf numFmtId="0" fontId="4" fillId="3" borderId="1" xfId="0" applyFont="1" applyFill="1" applyBorder="1" applyAlignment="1" applyProtection="1">
      <alignment horizontal="center" vertical="top" wrapText="1" readingOrder="1"/>
      <protection locked="0"/>
    </xf>
    <xf numFmtId="1" fontId="4" fillId="3" borderId="1" xfId="0" applyNumberFormat="1" applyFont="1" applyFill="1" applyBorder="1" applyAlignment="1" applyProtection="1">
      <alignment horizontal="left" vertical="top" wrapText="1" readingOrder="1"/>
      <protection locked="0"/>
    </xf>
    <xf numFmtId="0" fontId="4" fillId="3" borderId="4" xfId="0" applyFont="1" applyFill="1" applyBorder="1" applyAlignment="1" applyProtection="1">
      <alignment horizontal="left" vertical="top" readingOrder="1"/>
      <protection locked="0"/>
    </xf>
    <xf numFmtId="164" fontId="5" fillId="3" borderId="30" xfId="4" applyNumberFormat="1" applyFont="1" applyFill="1" applyBorder="1" applyAlignment="1" applyProtection="1">
      <alignment horizontal="right" vertical="top" wrapText="1" readingOrder="1"/>
      <protection locked="0"/>
    </xf>
    <xf numFmtId="164" fontId="4" fillId="3" borderId="17" xfId="4" applyNumberFormat="1" applyFont="1" applyFill="1" applyBorder="1" applyAlignment="1" applyProtection="1">
      <alignment vertical="top" wrapText="1" readingOrder="1"/>
      <protection locked="0"/>
    </xf>
    <xf numFmtId="0" fontId="4" fillId="3" borderId="27" xfId="0" applyFont="1" applyFill="1" applyBorder="1" applyAlignment="1" applyProtection="1">
      <alignment horizontal="left" vertical="top" wrapText="1" readingOrder="1"/>
      <protection locked="0"/>
    </xf>
    <xf numFmtId="1" fontId="4" fillId="2" borderId="1" xfId="0" applyNumberFormat="1" applyFont="1" applyFill="1" applyBorder="1" applyAlignment="1" applyProtection="1">
      <alignment horizontal="left" vertical="top" wrapText="1" readingOrder="1"/>
      <protection locked="0"/>
    </xf>
    <xf numFmtId="164" fontId="4" fillId="3" borderId="1" xfId="4" applyNumberFormat="1" applyFont="1" applyFill="1" applyBorder="1" applyAlignment="1" applyProtection="1">
      <alignment vertical="top" wrapText="1" readingOrder="1"/>
      <protection locked="0"/>
    </xf>
    <xf numFmtId="0" fontId="4" fillId="3" borderId="17" xfId="5" applyFont="1" applyFill="1" applyBorder="1" applyAlignment="1" applyProtection="1">
      <alignment horizontal="left" vertical="top" wrapText="1" readingOrder="1"/>
      <protection locked="0"/>
    </xf>
    <xf numFmtId="3" fontId="4" fillId="3" borderId="4" xfId="5" applyNumberFormat="1" applyFont="1" applyFill="1" applyBorder="1" applyAlignment="1" applyProtection="1">
      <alignment horizontal="left" vertical="top" readingOrder="1"/>
      <protection locked="0"/>
    </xf>
    <xf numFmtId="0" fontId="4" fillId="3" borderId="4" xfId="5" applyFont="1" applyFill="1" applyBorder="1" applyAlignment="1" applyProtection="1">
      <alignment horizontal="left" vertical="top" readingOrder="1"/>
      <protection locked="0"/>
    </xf>
    <xf numFmtId="0" fontId="4" fillId="3" borderId="1" xfId="1" applyFont="1" applyFill="1" applyBorder="1" applyAlignment="1" applyProtection="1">
      <alignment horizontal="left" vertical="top" wrapText="1" readingOrder="1"/>
      <protection locked="0"/>
    </xf>
    <xf numFmtId="0" fontId="4" fillId="0" borderId="1" xfId="0" applyFont="1" applyBorder="1" applyAlignment="1" applyProtection="1">
      <alignment horizontal="left" vertical="top" wrapText="1" readingOrder="1"/>
      <protection locked="0"/>
    </xf>
    <xf numFmtId="0" fontId="4" fillId="3" borderId="1" xfId="0" applyFont="1" applyFill="1" applyBorder="1" applyAlignment="1" applyProtection="1">
      <alignment horizontal="left" vertical="top" readingOrder="1"/>
      <protection locked="0"/>
    </xf>
    <xf numFmtId="0" fontId="4" fillId="3" borderId="17" xfId="1" applyFont="1" applyFill="1" applyBorder="1" applyAlignment="1" applyProtection="1">
      <alignment horizontal="left" vertical="top" wrapText="1" readingOrder="1"/>
      <protection locked="0"/>
    </xf>
    <xf numFmtId="3" fontId="5" fillId="3" borderId="30" xfId="4" applyNumberFormat="1" applyFont="1" applyFill="1" applyBorder="1" applyAlignment="1" applyProtection="1">
      <alignment horizontal="right" vertical="top" wrapText="1" readingOrder="1"/>
      <protection locked="0"/>
    </xf>
    <xf numFmtId="0" fontId="4" fillId="3" borderId="17" xfId="0" applyFont="1" applyFill="1" applyBorder="1" applyAlignment="1" applyProtection="1">
      <alignment horizontal="left" vertical="top" readingOrder="1"/>
      <protection locked="0"/>
    </xf>
    <xf numFmtId="0" fontId="4" fillId="3" borderId="28" xfId="5" applyFont="1" applyFill="1" applyBorder="1" applyAlignment="1" applyProtection="1">
      <alignment horizontal="left" vertical="top" wrapText="1" readingOrder="1"/>
      <protection locked="0"/>
    </xf>
    <xf numFmtId="0" fontId="5" fillId="3" borderId="30" xfId="5" applyFont="1" applyFill="1" applyBorder="1" applyAlignment="1" applyProtection="1">
      <alignment horizontal="right" vertical="top" wrapText="1" readingOrder="1"/>
      <protection locked="0"/>
    </xf>
    <xf numFmtId="164" fontId="4" fillId="3" borderId="27" xfId="4" applyNumberFormat="1" applyFont="1" applyFill="1" applyBorder="1" applyAlignment="1" applyProtection="1">
      <alignment vertical="top" wrapText="1" readingOrder="1"/>
      <protection locked="0"/>
    </xf>
    <xf numFmtId="0" fontId="4" fillId="3" borderId="27" xfId="68" applyFont="1" applyFill="1" applyBorder="1" applyAlignment="1" applyProtection="1">
      <alignment horizontal="left" vertical="top" wrapText="1" readingOrder="1"/>
      <protection locked="0"/>
    </xf>
    <xf numFmtId="0" fontId="4" fillId="3" borderId="1" xfId="0" applyFont="1" applyFill="1" applyBorder="1" applyAlignment="1" applyProtection="1">
      <alignment horizontal="center" wrapText="1" readingOrder="1"/>
      <protection locked="0"/>
    </xf>
    <xf numFmtId="0" fontId="4" fillId="2" borderId="2" xfId="0" applyFont="1" applyFill="1" applyBorder="1" applyAlignment="1" applyProtection="1">
      <alignment horizontal="left" vertical="top" wrapText="1"/>
      <protection locked="0"/>
    </xf>
    <xf numFmtId="0" fontId="5" fillId="2" borderId="2" xfId="0" applyFont="1" applyFill="1" applyBorder="1" applyAlignment="1" applyProtection="1">
      <alignment horizontal="left" vertical="top" wrapText="1"/>
      <protection locked="0"/>
    </xf>
    <xf numFmtId="164" fontId="0" fillId="2" borderId="2" xfId="4" applyNumberFormat="1" applyFont="1" applyFill="1" applyBorder="1" applyAlignment="1" applyProtection="1">
      <alignment horizontal="right" vertical="top" wrapText="1"/>
      <protection locked="0"/>
    </xf>
    <xf numFmtId="0" fontId="4" fillId="2" borderId="2" xfId="0" applyFont="1" applyFill="1" applyBorder="1" applyAlignment="1" applyProtection="1">
      <alignment horizontal="right" vertical="top" wrapText="1"/>
      <protection locked="0"/>
    </xf>
    <xf numFmtId="0" fontId="4" fillId="2" borderId="2" xfId="0" applyFont="1" applyFill="1" applyBorder="1" applyAlignment="1" applyProtection="1">
      <alignment horizontal="center" vertical="top" wrapText="1"/>
      <protection locked="0"/>
    </xf>
    <xf numFmtId="164" fontId="5" fillId="2" borderId="2" xfId="4" applyNumberFormat="1" applyFont="1" applyFill="1" applyBorder="1" applyAlignment="1" applyProtection="1">
      <alignment horizontal="right" vertical="top" wrapText="1"/>
      <protection locked="0"/>
    </xf>
    <xf numFmtId="3" fontId="11" fillId="4" borderId="29" xfId="4" applyNumberFormat="1" applyFont="1" applyFill="1" applyBorder="1" applyAlignment="1" applyProtection="1">
      <alignment horizontal="left" wrapText="1"/>
      <protection locked="0"/>
    </xf>
    <xf numFmtId="3" fontId="11" fillId="4" borderId="29" xfId="4" applyNumberFormat="1" applyFont="1" applyFill="1" applyBorder="1" applyAlignment="1" applyProtection="1">
      <alignment horizontal="right" wrapText="1"/>
      <protection locked="0"/>
    </xf>
    <xf numFmtId="3" fontId="11" fillId="4" borderId="29" xfId="4" applyNumberFormat="1" applyFont="1" applyFill="1" applyBorder="1" applyAlignment="1" applyProtection="1">
      <alignment horizontal="center" wrapText="1"/>
      <protection locked="0"/>
    </xf>
    <xf numFmtId="0" fontId="11" fillId="4" borderId="29" xfId="4" applyNumberFormat="1" applyFont="1" applyFill="1" applyBorder="1" applyAlignment="1" applyProtection="1">
      <alignment horizontal="left" wrapText="1"/>
      <protection locked="0"/>
    </xf>
    <xf numFmtId="164" fontId="4" fillId="3" borderId="2" xfId="84" applyNumberFormat="1" applyFont="1" applyFill="1" applyBorder="1" applyAlignment="1" applyProtection="1">
      <alignment vertical="top" wrapText="1" readingOrder="1"/>
      <protection locked="0"/>
    </xf>
    <xf numFmtId="0" fontId="6" fillId="3" borderId="0" xfId="0" applyFont="1" applyFill="1" applyAlignment="1">
      <alignment horizontal="left" vertical="top" wrapText="1"/>
    </xf>
    <xf numFmtId="0" fontId="8" fillId="2" borderId="0" xfId="0" applyFont="1" applyFill="1" applyAlignment="1">
      <alignment horizontal="left" wrapText="1"/>
    </xf>
    <xf numFmtId="3" fontId="12" fillId="4" borderId="1" xfId="4" applyNumberFormat="1" applyFont="1" applyFill="1" applyBorder="1" applyAlignment="1">
      <alignment horizontal="center" vertical="center" wrapText="1"/>
    </xf>
  </cellXfs>
  <cellStyles count="85">
    <cellStyle name="20% - Accent1" xfId="22" builtinId="30" customBuiltin="1"/>
    <cellStyle name="20% - Accent1 2" xfId="62" xr:uid="{00000000-0005-0000-0000-000001000000}"/>
    <cellStyle name="20% - Accent2" xfId="25" builtinId="34" customBuiltin="1"/>
    <cellStyle name="20% - Accent2 2" xfId="65" xr:uid="{00000000-0005-0000-0000-000003000000}"/>
    <cellStyle name="20% - Accent3" xfId="28" builtinId="38" customBuiltin="1"/>
    <cellStyle name="20% - Accent3 2" xfId="68" xr:uid="{00000000-0005-0000-0000-000005000000}"/>
    <cellStyle name="20% - Accent4" xfId="31" builtinId="42" customBuiltin="1"/>
    <cellStyle name="20% - Accent4 2" xfId="72" xr:uid="{00000000-0005-0000-0000-000007000000}"/>
    <cellStyle name="20% - Accent5" xfId="34" builtinId="46" customBuiltin="1"/>
    <cellStyle name="20% - Accent5 2" xfId="75" xr:uid="{00000000-0005-0000-0000-000009000000}"/>
    <cellStyle name="20% - Accent6" xfId="37" builtinId="50" customBuiltin="1"/>
    <cellStyle name="20% - Accent6 2" xfId="77" xr:uid="{00000000-0005-0000-0000-00000B000000}"/>
    <cellStyle name="40% - Accent1" xfId="23" builtinId="31" customBuiltin="1"/>
    <cellStyle name="40% - Accent1 2" xfId="63" xr:uid="{00000000-0005-0000-0000-00000D000000}"/>
    <cellStyle name="40% - Accent2" xfId="26" builtinId="35" customBuiltin="1"/>
    <cellStyle name="40% - Accent2 2" xfId="66" xr:uid="{00000000-0005-0000-0000-00000F000000}"/>
    <cellStyle name="40% - Accent3" xfId="29" builtinId="39" customBuiltin="1"/>
    <cellStyle name="40% - Accent3 2" xfId="69" xr:uid="{00000000-0005-0000-0000-000011000000}"/>
    <cellStyle name="40% - Accent4" xfId="32" builtinId="43" customBuiltin="1"/>
    <cellStyle name="40% - Accent4 2" xfId="73" xr:uid="{00000000-0005-0000-0000-000013000000}"/>
    <cellStyle name="40% - Accent5" xfId="35" builtinId="47" customBuiltin="1"/>
    <cellStyle name="40% - Accent5 2" xfId="76" xr:uid="{00000000-0005-0000-0000-000015000000}"/>
    <cellStyle name="40% - Accent6" xfId="38" builtinId="51" customBuiltin="1"/>
    <cellStyle name="40% - Accent6 2" xfId="78" xr:uid="{00000000-0005-0000-0000-000017000000}"/>
    <cellStyle name="60% - Accent1 2" xfId="42" xr:uid="{00000000-0005-0000-0000-00003F000000}"/>
    <cellStyle name="60% - Accent2 2" xfId="43" xr:uid="{00000000-0005-0000-0000-000040000000}"/>
    <cellStyle name="60% - Accent3 2" xfId="44" xr:uid="{00000000-0005-0000-0000-000041000000}"/>
    <cellStyle name="60% - Accent4 2" xfId="45" xr:uid="{00000000-0005-0000-0000-000042000000}"/>
    <cellStyle name="60% - Accent5 2" xfId="46" xr:uid="{00000000-0005-0000-0000-000043000000}"/>
    <cellStyle name="60% - Accent6 2" xfId="47" xr:uid="{00000000-0005-0000-0000-000044000000}"/>
    <cellStyle name="Accent1" xfId="21" builtinId="29" customBuiltin="1"/>
    <cellStyle name="Accent1 2" xfId="61" xr:uid="{00000000-0005-0000-0000-00001F000000}"/>
    <cellStyle name="Accent2" xfId="24" builtinId="33" customBuiltin="1"/>
    <cellStyle name="Accent2 2" xfId="64" xr:uid="{00000000-0005-0000-0000-000021000000}"/>
    <cellStyle name="Accent3" xfId="27" builtinId="37" customBuiltin="1"/>
    <cellStyle name="Accent3 2" xfId="67" xr:uid="{00000000-0005-0000-0000-000023000000}"/>
    <cellStyle name="Accent4" xfId="30" builtinId="41" customBuiltin="1"/>
    <cellStyle name="Accent4 2" xfId="71" xr:uid="{00000000-0005-0000-0000-000025000000}"/>
    <cellStyle name="Accent5" xfId="33" builtinId="45" customBuiltin="1"/>
    <cellStyle name="Accent6" xfId="36" builtinId="49" customBuiltin="1"/>
    <cellStyle name="Bad" xfId="11" builtinId="27" customBuiltin="1"/>
    <cellStyle name="Calculation" xfId="14" builtinId="22" customBuiltin="1"/>
    <cellStyle name="Calculation - Change with Caution" xfId="74" xr:uid="{00000000-0005-0000-0000-00002A000000}"/>
    <cellStyle name="Calculation - Do not Change" xfId="49" xr:uid="{00000000-0005-0000-0000-00002B000000}"/>
    <cellStyle name="Cell not in use" xfId="81" xr:uid="{00000000-0005-0000-0000-00002C000000}"/>
    <cellStyle name="Check Cell" xfId="16" builtinId="23" customBuiltin="1"/>
    <cellStyle name="Check Cell 2" xfId="59" xr:uid="{00000000-0005-0000-0000-00002E000000}"/>
    <cellStyle name="Column Header" xfId="48" xr:uid="{00000000-0005-0000-0000-00002F000000}"/>
    <cellStyle name="Comma" xfId="4" builtinId="3"/>
    <cellStyle name="Comma 2" xfId="39" xr:uid="{00000000-0005-0000-0000-00004E000000}"/>
    <cellStyle name="Data Table" xfId="50" xr:uid="{00000000-0005-0000-0000-000031000000}"/>
    <cellStyle name="Description" xfId="80" xr:uid="{00000000-0005-0000-0000-000032000000}"/>
    <cellStyle name="Explanatory Text" xfId="19" builtinId="53" customBuiltin="1"/>
    <cellStyle name="Good" xfId="10" builtinId="26" customBuiltin="1"/>
    <cellStyle name="Heading 1" xfId="6" builtinId="16" customBuiltin="1"/>
    <cellStyle name="Heading 1 2" xfId="54" xr:uid="{00000000-0005-0000-0000-000036000000}"/>
    <cellStyle name="Heading 2" xfId="7" builtinId="17" customBuiltin="1"/>
    <cellStyle name="Heading 2 2" xfId="55" xr:uid="{00000000-0005-0000-0000-000038000000}"/>
    <cellStyle name="Heading 3" xfId="8" builtinId="18" customBuiltin="1"/>
    <cellStyle name="Heading 3 2" xfId="56" xr:uid="{00000000-0005-0000-0000-00003A000000}"/>
    <cellStyle name="Heading 4" xfId="9" builtinId="19" customBuiltin="1"/>
    <cellStyle name="Heading 4 2" xfId="57" xr:uid="{00000000-0005-0000-0000-00003C000000}"/>
    <cellStyle name="Hyperlink 2" xfId="82" xr:uid="{00000000-0005-0000-0000-00003E000000}"/>
    <cellStyle name="Input" xfId="12" builtinId="20" customBuiltin="1"/>
    <cellStyle name="Input 2" xfId="58" xr:uid="{00000000-0005-0000-0000-000040000000}"/>
    <cellStyle name="Link to Another File" xfId="51" xr:uid="{00000000-0005-0000-0000-000041000000}"/>
    <cellStyle name="Link to This File" xfId="52" xr:uid="{00000000-0005-0000-0000-000042000000}"/>
    <cellStyle name="Linked Cell" xfId="15" builtinId="24" customBuiltin="1"/>
    <cellStyle name="Neutral 2" xfId="41" xr:uid="{00000000-0005-0000-0000-00005A000000}"/>
    <cellStyle name="Normal" xfId="0" builtinId="0"/>
    <cellStyle name="Normal 2" xfId="1" xr:uid="{00000000-0005-0000-0000-000002000000}"/>
    <cellStyle name="Normal 2 6" xfId="3" xr:uid="{00000000-0005-0000-0000-000003000000}"/>
    <cellStyle name="Normal 3" xfId="53" xr:uid="{00000000-0005-0000-0000-000048000000}"/>
    <cellStyle name="Normal 4" xfId="2" xr:uid="{00000000-0005-0000-0000-000004000000}"/>
    <cellStyle name="Normal 5" xfId="70" xr:uid="{00000000-0005-0000-0000-00004A000000}"/>
    <cellStyle name="Normal_columns to use" xfId="5" xr:uid="{00000000-0005-0000-0000-000005000000}"/>
    <cellStyle name="Note" xfId="18" builtinId="10" customBuiltin="1"/>
    <cellStyle name="Output" xfId="13" builtinId="21" customBuiltin="1"/>
    <cellStyle name="Output to another file" xfId="79" xr:uid="{00000000-0005-0000-0000-00004E000000}"/>
    <cellStyle name="Percent" xfId="84" builtinId="5"/>
    <cellStyle name="Row Header" xfId="83" xr:uid="{00000000-0005-0000-0000-000050000000}"/>
    <cellStyle name="Title 2" xfId="40" xr:uid="{00000000-0005-0000-0000-00005F000000}"/>
    <cellStyle name="Total" xfId="20" builtinId="25" customBuiltin="1"/>
    <cellStyle name="Total 2" xfId="60" xr:uid="{00000000-0005-0000-0000-000053000000}"/>
    <cellStyle name="Warning Text" xfId="17" builtinId="11" customBuiltin="1"/>
  </cellStyles>
  <dxfs count="39">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lor rgb="FFC00000"/>
      </font>
      <fill>
        <patternFill patternType="none">
          <bgColor auto="1"/>
        </patternFill>
      </fill>
    </dxf>
    <dxf>
      <font>
        <color rgb="FFC00000"/>
      </font>
    </dxf>
    <dxf>
      <font>
        <color rgb="FFC00000"/>
      </font>
    </dxf>
    <dxf>
      <fill>
        <patternFill>
          <bgColor theme="2" tint="-0.24994659260841701"/>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6" tint="0.59996337778862885"/>
        </patternFill>
      </fill>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general" vertical="top" textRotation="0" wrapText="1" indent="0" justifyLastLine="0" shrinkToFit="0" readingOrder="1"/>
      <border diagonalUp="0" diagonalDown="0" outline="0">
        <left style="thin">
          <color theme="0" tint="-0.249977111117893"/>
        </left>
        <right style="thick">
          <color indexed="64"/>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general"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general"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general"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general"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right" vertical="top" textRotation="0" wrapText="1" indent="0" justifyLastLine="0" shrinkToFit="0" readingOrder="1"/>
      <border diagonalUp="0" diagonalDown="0" outline="0">
        <left style="thick">
          <color indexed="64"/>
        </left>
        <right style="thick">
          <color indexed="64"/>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0"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 formatCode="0"/>
      <fill>
        <patternFill patternType="solid">
          <fgColor indexed="64"/>
          <bgColor theme="0"/>
        </patternFill>
      </fill>
      <alignment horizontal="lef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0" formatCode="General"/>
      <fill>
        <patternFill patternType="solid">
          <fgColor indexed="64"/>
          <bgColor theme="0"/>
        </patternFill>
      </fill>
      <alignment horizontal="center" vertical="bottom"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righ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righ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numFmt numFmtId="164" formatCode="_-* #,##0_-;\-* #,##0_-;_-* &quot;-&quot;??_-;_-@_-"/>
      <fill>
        <patternFill patternType="solid">
          <fgColor indexed="64"/>
          <bgColor theme="0"/>
        </patternFill>
      </fill>
      <alignment horizontal="righ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1" indent="0" justifyLastLine="0" shrinkToFit="0" readingOrder="1"/>
      <border diagonalUp="0" diagonalDown="0" outline="0">
        <left style="thin">
          <color theme="0" tint="-0.249977111117893"/>
        </left>
        <right style="thin">
          <color theme="0" tint="-0.249977111117893"/>
        </right>
        <top style="thin">
          <color theme="0" tint="-0.249977111117893"/>
        </top>
        <bottom style="thin">
          <color theme="0" tint="-0.249977111117893"/>
        </bottom>
      </border>
      <protection locked="0" hidden="0"/>
    </dxf>
    <dxf>
      <font>
        <b val="0"/>
        <i val="0"/>
        <strike val="0"/>
        <condense val="0"/>
        <extend val="0"/>
        <outline val="0"/>
        <shadow val="0"/>
        <u val="none"/>
        <vertAlign val="baseline"/>
        <sz val="7"/>
        <color theme="1" tint="0.249977111117893"/>
        <name val="Lao UI"/>
        <family val="2"/>
        <scheme val="none"/>
      </font>
      <fill>
        <patternFill patternType="solid">
          <fgColor indexed="64"/>
          <bgColor theme="0"/>
        </patternFill>
      </fill>
      <alignment horizontal="left" vertical="top" textRotation="0" wrapText="1" indent="0" justifyLastLine="0" shrinkToFit="0" readingOrder="1"/>
      <border diagonalUp="0" diagonalDown="0" outline="0">
        <left style="thick">
          <color indexed="64"/>
        </left>
        <right style="thin">
          <color theme="0" tint="-0.249977111117893"/>
        </right>
        <top style="thin">
          <color theme="0" tint="-0.249977111117893"/>
        </top>
        <bottom style="thin">
          <color theme="0" tint="-0.249977111117893"/>
        </bottom>
      </border>
      <protection locked="0" hidden="0"/>
    </dxf>
    <dxf>
      <border outline="0">
        <top style="thin">
          <color theme="0" tint="-0.249977111117893"/>
        </top>
      </border>
    </dxf>
    <dxf>
      <border outline="0">
        <right style="thin">
          <color theme="0" tint="-0.249977111117893"/>
        </right>
        <top style="medium">
          <color theme="1" tint="0.249977111117893"/>
        </top>
        <bottom style="double">
          <color indexed="64"/>
        </bottom>
      </border>
    </dxf>
    <dxf>
      <numFmt numFmtId="3" formatCode="#,##0"/>
      <protection locked="0" hidden="0"/>
    </dxf>
    <dxf>
      <border>
        <bottom style="medium">
          <color theme="0" tint="-0.249977111117893"/>
        </bottom>
      </border>
    </dxf>
    <dxf>
      <font>
        <b/>
        <i val="0"/>
        <strike val="0"/>
        <condense val="0"/>
        <extend val="0"/>
        <outline val="0"/>
        <shadow val="0"/>
        <u val="none"/>
        <vertAlign val="baseline"/>
        <sz val="7"/>
        <color theme="0"/>
        <name val="Lao UI"/>
        <family val="2"/>
        <scheme val="none"/>
      </font>
      <numFmt numFmtId="3" formatCode="#,##0"/>
      <fill>
        <patternFill patternType="solid">
          <fgColor indexed="64"/>
          <bgColor rgb="FF0A529C"/>
        </patternFill>
      </fill>
      <alignment horizontal="left" vertical="bottom" textRotation="0" wrapText="1" indent="0" justifyLastLine="0" shrinkToFit="0" readingOrder="0"/>
      <border diagonalUp="0" diagonalDown="0" outline="0">
        <left style="medium">
          <color auto="1"/>
        </left>
        <right style="medium">
          <color auto="1"/>
        </right>
        <top/>
        <bottom/>
      </border>
      <protection locked="0" hidden="0"/>
    </dxf>
  </dxfs>
  <tableStyles count="0" defaultTableStyle="TableStyleMedium2" defaultPivotStyle="PivotStyleLight16"/>
  <colors>
    <mruColors>
      <color rgb="FF0A5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nnfcc.co.uk/"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nnfcc.co.uk/"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847725</xdr:colOff>
      <xdr:row>3</xdr:row>
      <xdr:rowOff>390525</xdr:rowOff>
    </xdr:to>
    <xdr:pic>
      <xdr:nvPicPr>
        <xdr:cNvPr id="5" name="Picture 4" descr="http://www.biogas-info.co.uk/wp-content/uploads/2011/09/NNFCC-Logo-2016-High-Res-RGB1-300x107.jpg">
          <a:hlinkClick xmlns:r="http://schemas.openxmlformats.org/officeDocument/2006/relationships" r:id="rId1"/>
          <a:extLst>
            <a:ext uri="{FF2B5EF4-FFF2-40B4-BE49-F238E27FC236}">
              <a16:creationId xmlns:a16="http://schemas.microsoft.com/office/drawing/2014/main" id="{445AC30C-1765-4939-AF55-961C62E12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8575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247650</xdr:colOff>
      <xdr:row>2</xdr:row>
      <xdr:rowOff>207804</xdr:rowOff>
    </xdr:to>
    <xdr:pic>
      <xdr:nvPicPr>
        <xdr:cNvPr id="4" name="Picture 3" descr="http://www.biogas-info.co.uk/wp-content/uploads/2011/09/NNFCC-Logo-2016-High-Res-RGB1-300x107.jpg">
          <a:hlinkClick xmlns:r="http://schemas.openxmlformats.org/officeDocument/2006/relationships" r:id="rId1"/>
          <a:extLst>
            <a:ext uri="{FF2B5EF4-FFF2-40B4-BE49-F238E27FC236}">
              <a16:creationId xmlns:a16="http://schemas.microsoft.com/office/drawing/2014/main" id="{A183CA3B-1A67-4991-9780-A8B6E9CAE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238375" cy="798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nfcc.sharepoint.com/pmo/AD%20DEPLOYMENT/Documentation/AD%20Deployment%202024/For%20Sending%20to%20Clients/AD%20Deployment%20Database/AD%20Database%20March%202018_repor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nfcc.sharepoint.com/pmo/AD%20DEPLOYMENT/Documentation/AD%20Deployment%202024/For%20Sending%20to%20Clients/AD%20Deployment%20Database/AD%20Database%20April%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ology"/>
      <sheetName val="Checklist"/>
      <sheetName val="Assumptions"/>
      <sheetName val="Information sources"/>
      <sheetName val="Council portals"/>
      <sheetName val="REPD extract"/>
      <sheetName val="VP Data"/>
      <sheetName val="New sites"/>
      <sheetName val="AD DD"/>
      <sheetName val="Report text"/>
      <sheetName val="Status Summary"/>
      <sheetName val="Scale Summary"/>
      <sheetName val="Regional Summary"/>
      <sheetName val="Feedstock Summary"/>
      <sheetName val="Timelines"/>
      <sheetName val="Fit Accreditations"/>
      <sheetName val="Plant size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
      <sheetName val="Fit Accreditations"/>
      <sheetName val="Assumptions and Info"/>
      <sheetName val="Developers"/>
      <sheetName val="Council portals"/>
      <sheetName val="REPD extract"/>
      <sheetName val="New sites"/>
      <sheetName val="AD DD"/>
      <sheetName val="Report text"/>
      <sheetName val="Status Summary"/>
      <sheetName val="Plant size Summary"/>
      <sheetName val="Regional Summary"/>
      <sheetName val="Feedstock Summary"/>
      <sheetName val="Timeli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tes" displayName="Sites" ref="A4:R634" totalsRowShown="0" headerRowDxfId="38" dataDxfId="36" headerRowBorderDxfId="37" tableBorderDxfId="35" totalsRowBorderDxfId="34" headerRowCellStyle="Comma">
  <autoFilter ref="A4:R634" xr:uid="{00000000-000C-0000-FFFF-FFFF00000000}"/>
  <sortState xmlns:xlrd2="http://schemas.microsoft.com/office/spreadsheetml/2017/richdata2" ref="A5:R634">
    <sortCondition ref="D4:D634"/>
  </sortState>
  <tableColumns count="18">
    <tableColumn id="1" xr3:uid="{00000000-0010-0000-0000-000001000000}" name="Region" dataDxfId="33"/>
    <tableColumn id="2" xr3:uid="{00000000-0010-0000-0000-000002000000}" name="County" dataDxfId="32" dataCellStyle="Normal_columns to use"/>
    <tableColumn id="3" xr3:uid="{00000000-0010-0000-0000-000003000000}" name="Developer" dataDxfId="31"/>
    <tableColumn id="4" xr3:uid="{00000000-0010-0000-0000-000004000000}" name="Site name" dataDxfId="30"/>
    <tableColumn id="20" xr3:uid="{47A0940C-5E7D-48FD-9EF3-847596FBE1EB}" name="Postcode" dataDxfId="29"/>
    <tableColumn id="5" xr3:uid="{00000000-0010-0000-0000-000005000000}" name="Capacity (kWe)" dataDxfId="28" dataCellStyle="Comma"/>
    <tableColumn id="6" xr3:uid="{00000000-0010-0000-0000-000006000000}" name="Biomethane capacity (Nm3/hr biomethane)" dataDxfId="27" dataCellStyle="Comma"/>
    <tableColumn id="7" xr3:uid="{00000000-0010-0000-0000-000007000000}" name="Output" dataDxfId="26"/>
    <tableColumn id="8" xr3:uid="{00000000-0010-0000-0000-000008000000}" name="Status" dataDxfId="25"/>
    <tableColumn id="9" xr3:uid="{00000000-0010-0000-0000-000009000000}" name="Completion" dataDxfId="24"/>
    <tableColumn id="10" xr3:uid="{00000000-0010-0000-0000-00000A000000}" name="Type" dataDxfId="23"/>
    <tableColumn id="11" xr3:uid="{00000000-0010-0000-0000-00000B000000}" name="Feedstock" dataDxfId="22"/>
    <tableColumn id="12" xr3:uid="{00000000-0010-0000-0000-00000C000000}" name="Total feedstock (tpa)" dataDxfId="21" dataCellStyle="Comma"/>
    <tableColumn id="13" xr3:uid="{00000000-0010-0000-0000-00000D000000}" name="Manure/ Slurry (tpa)" dataDxfId="20" dataCellStyle="Comma"/>
    <tableColumn id="14" xr3:uid="{00000000-0010-0000-0000-00000E000000}" name="Crop (tpa)" dataDxfId="19" dataCellStyle="Comma"/>
    <tableColumn id="15" xr3:uid="{00000000-0010-0000-0000-00000F000000}" name="Food Waste (tpa)" dataDxfId="18" dataCellStyle="Comma"/>
    <tableColumn id="16" xr3:uid="{00000000-0010-0000-0000-000010000000}" name="Crop Waste (tpa)" dataDxfId="17" dataCellStyle="Comma"/>
    <tableColumn id="17" xr3:uid="{00000000-0010-0000-0000-000011000000}" name="Other Waste (tpa)" dataDxfId="16" dataCellStyle="Percent"/>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zoomScale="90" zoomScaleNormal="90" workbookViewId="0">
      <selection activeCell="B15" sqref="B15"/>
    </sheetView>
  </sheetViews>
  <sheetFormatPr defaultColWidth="9.1796875" defaultRowHeight="16.5" x14ac:dyDescent="0.45"/>
  <cols>
    <col min="1" max="1" width="30.1796875" style="1" customWidth="1"/>
    <col min="2" max="2" width="34" style="1" customWidth="1"/>
    <col min="3" max="3" width="88.1796875" style="1" customWidth="1"/>
    <col min="4" max="16384" width="9.1796875" style="1"/>
  </cols>
  <sheetData>
    <row r="1" spans="1:3" x14ac:dyDescent="0.45">
      <c r="A1"/>
    </row>
    <row r="4" spans="1:3" ht="32.25" customHeight="1" x14ac:dyDescent="0.45"/>
    <row r="5" spans="1:3" ht="33" customHeight="1" x14ac:dyDescent="0.45">
      <c r="A5" s="61" t="s">
        <v>2183</v>
      </c>
      <c r="B5" s="61"/>
      <c r="C5" s="61"/>
    </row>
    <row r="7" spans="1:3" ht="52.5" customHeight="1" x14ac:dyDescent="0.45">
      <c r="A7" s="61" t="s">
        <v>0</v>
      </c>
      <c r="B7" s="61"/>
      <c r="C7" s="61"/>
    </row>
    <row r="9" spans="1:3" x14ac:dyDescent="0.45">
      <c r="A9" s="2" t="s">
        <v>1</v>
      </c>
    </row>
    <row r="10" spans="1:3" ht="36" customHeight="1" x14ac:dyDescent="0.45">
      <c r="A10" s="61" t="s">
        <v>2</v>
      </c>
      <c r="B10" s="61"/>
      <c r="C10" s="61"/>
    </row>
    <row r="11" spans="1:3" ht="34.5" customHeight="1" x14ac:dyDescent="0.45">
      <c r="A11" s="61" t="s">
        <v>3</v>
      </c>
      <c r="B11" s="61"/>
      <c r="C11" s="61"/>
    </row>
    <row r="12" spans="1:3" ht="30" customHeight="1" x14ac:dyDescent="0.45">
      <c r="A12" s="9" t="s">
        <v>2184</v>
      </c>
      <c r="B12" s="10"/>
      <c r="C12" s="10"/>
    </row>
    <row r="13" spans="1:3" ht="7.5" customHeight="1" x14ac:dyDescent="0.45">
      <c r="A13" s="11"/>
    </row>
    <row r="14" spans="1:3" ht="17.25" customHeight="1" x14ac:dyDescent="0.45">
      <c r="A14" s="7" t="s">
        <v>4</v>
      </c>
      <c r="B14" s="7" t="s">
        <v>2185</v>
      </c>
      <c r="C14" s="7"/>
    </row>
    <row r="15" spans="1:3" ht="17.25" customHeight="1" x14ac:dyDescent="0.45">
      <c r="A15" s="7" t="s">
        <v>5</v>
      </c>
      <c r="B15" s="7" t="s">
        <v>7</v>
      </c>
      <c r="C15" s="7"/>
    </row>
    <row r="16" spans="1:3" ht="17.25" customHeight="1" x14ac:dyDescent="0.45">
      <c r="A16" s="7" t="s">
        <v>6</v>
      </c>
      <c r="B16" s="7" t="s">
        <v>9</v>
      </c>
      <c r="C16" s="7"/>
    </row>
    <row r="17" spans="1:3" ht="17.25" customHeight="1" x14ac:dyDescent="0.45">
      <c r="A17" s="7" t="s">
        <v>8</v>
      </c>
      <c r="B17" s="7"/>
      <c r="C17" s="7"/>
    </row>
    <row r="18" spans="1:3" ht="17.25" customHeight="1" x14ac:dyDescent="0.45">
      <c r="A18" s="7" t="s">
        <v>10</v>
      </c>
      <c r="C18" s="7"/>
    </row>
    <row r="19" spans="1:3" ht="9.75" customHeight="1" thickBot="1" x14ac:dyDescent="0.5">
      <c r="A19" s="8"/>
      <c r="B19" s="8"/>
      <c r="C19" s="8"/>
    </row>
  </sheetData>
  <sheetProtection algorithmName="SHA-512" hashValue="tYCZ23AcuQVYUS9ttlr13/9cDvtdHLICMvWd0EHza5FezkMf7PNw8hdgYvCD/jdcHC4zLrWUZlMEQUbCD3K0zQ==" saltValue="AU1FYMQ2nnv1uSfthhpmvA==" spinCount="100000" sheet="1" objects="1" scenarios="1" selectLockedCells="1" selectUnlockedCells="1"/>
  <mergeCells count="4">
    <mergeCell ref="A5:C5"/>
    <mergeCell ref="A7:C7"/>
    <mergeCell ref="A10:C10"/>
    <mergeCell ref="A11:C11"/>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5"/>
  <sheetViews>
    <sheetView tabSelected="1" zoomScale="90" zoomScaleNormal="90" workbookViewId="0">
      <pane ySplit="4" topLeftCell="A5" activePane="bottomLeft" state="frozen"/>
      <selection pane="bottomLeft" activeCell="D24" sqref="D24"/>
    </sheetView>
  </sheetViews>
  <sheetFormatPr defaultColWidth="9.1796875" defaultRowHeight="10.5" x14ac:dyDescent="0.35"/>
  <cols>
    <col min="1" max="1" width="9.453125" style="5" customWidth="1"/>
    <col min="2" max="2" width="20.26953125" style="5" customWidth="1"/>
    <col min="3" max="3" width="30.81640625" style="5" customWidth="1"/>
    <col min="4" max="4" width="32.7265625" style="5" customWidth="1"/>
    <col min="5" max="5" width="10.1796875" style="5" customWidth="1"/>
    <col min="6" max="6" width="12.453125" style="14" bestFit="1" customWidth="1"/>
    <col min="7" max="7" width="12.54296875" style="14" customWidth="1"/>
    <col min="8" max="8" width="14.54296875" style="14" customWidth="1"/>
    <col min="9" max="9" width="15.7265625" style="16" customWidth="1"/>
    <col min="10" max="10" width="13.26953125" style="5" customWidth="1"/>
    <col min="11" max="11" width="9.1796875" style="5"/>
    <col min="12" max="12" width="25.81640625" style="5" customWidth="1"/>
    <col min="13" max="13" width="15.26953125" style="17" customWidth="1"/>
    <col min="14" max="14" width="14.26953125" style="5" customWidth="1"/>
    <col min="15" max="15" width="10.54296875" style="5" customWidth="1"/>
    <col min="16" max="16" width="11.81640625" style="5" customWidth="1"/>
    <col min="17" max="17" width="11.7265625" style="5" customWidth="1"/>
    <col min="18" max="18" width="12.1796875" style="5" customWidth="1"/>
    <col min="19" max="16384" width="9.1796875" style="5"/>
  </cols>
  <sheetData>
    <row r="1" spans="1:18" ht="17.25" customHeight="1" x14ac:dyDescent="0.35"/>
    <row r="2" spans="1:18" ht="30" customHeight="1" x14ac:dyDescent="0.35">
      <c r="D2" s="63" t="s">
        <v>11</v>
      </c>
      <c r="E2" s="63"/>
      <c r="F2" s="63"/>
      <c r="G2" s="19">
        <f>SUBTOTAL(103,Sites[Site name])</f>
        <v>630</v>
      </c>
    </row>
    <row r="3" spans="1:18" ht="17.25" customHeight="1" thickBot="1" x14ac:dyDescent="0.6">
      <c r="A3" s="3"/>
      <c r="B3" s="4"/>
      <c r="C3" s="4"/>
      <c r="D3" s="4"/>
      <c r="E3" s="4"/>
      <c r="F3" s="15"/>
      <c r="G3" s="62"/>
      <c r="H3" s="62"/>
      <c r="I3" s="12"/>
      <c r="J3" s="4"/>
      <c r="K3" s="4"/>
      <c r="L3" s="4"/>
      <c r="M3" s="18"/>
      <c r="N3" s="4"/>
      <c r="O3" s="4"/>
      <c r="P3" s="4"/>
      <c r="Q3" s="4"/>
      <c r="R3" s="4"/>
    </row>
    <row r="4" spans="1:18" s="6" customFormat="1" ht="32.5" thickTop="1" thickBot="1" x14ac:dyDescent="0.35">
      <c r="A4" s="56" t="s">
        <v>12</v>
      </c>
      <c r="B4" s="56" t="s">
        <v>13</v>
      </c>
      <c r="C4" s="56" t="s">
        <v>14</v>
      </c>
      <c r="D4" s="56" t="s">
        <v>15</v>
      </c>
      <c r="E4" s="56" t="s">
        <v>16</v>
      </c>
      <c r="F4" s="56" t="s">
        <v>17</v>
      </c>
      <c r="G4" s="57" t="s">
        <v>18</v>
      </c>
      <c r="H4" s="57" t="s">
        <v>19</v>
      </c>
      <c r="I4" s="58" t="s">
        <v>20</v>
      </c>
      <c r="J4" s="59" t="s">
        <v>21</v>
      </c>
      <c r="K4" s="56" t="s">
        <v>22</v>
      </c>
      <c r="L4" s="56" t="s">
        <v>23</v>
      </c>
      <c r="M4" s="56" t="s">
        <v>24</v>
      </c>
      <c r="N4" s="56" t="s">
        <v>25</v>
      </c>
      <c r="O4" s="56" t="s">
        <v>26</v>
      </c>
      <c r="P4" s="56" t="s">
        <v>27</v>
      </c>
      <c r="Q4" s="56" t="s">
        <v>28</v>
      </c>
      <c r="R4" s="56" t="s">
        <v>29</v>
      </c>
    </row>
    <row r="5" spans="1:18" ht="10.5" customHeight="1" thickTop="1" x14ac:dyDescent="0.35">
      <c r="A5" s="24" t="s">
        <v>38</v>
      </c>
      <c r="B5" s="33" t="s">
        <v>39</v>
      </c>
      <c r="C5" s="26" t="s">
        <v>40</v>
      </c>
      <c r="D5" s="39" t="s">
        <v>40</v>
      </c>
      <c r="E5" s="20" t="s">
        <v>41</v>
      </c>
      <c r="F5" s="22">
        <v>451</v>
      </c>
      <c r="G5" s="22">
        <v>0</v>
      </c>
      <c r="H5" s="27" t="s">
        <v>33</v>
      </c>
      <c r="I5" s="13" t="s">
        <v>42</v>
      </c>
      <c r="J5" s="28">
        <v>2012</v>
      </c>
      <c r="K5" s="34" t="s">
        <v>34</v>
      </c>
      <c r="L5" s="30" t="s">
        <v>43</v>
      </c>
      <c r="M5" s="31">
        <v>40000</v>
      </c>
      <c r="N5" s="32">
        <v>28000</v>
      </c>
      <c r="O5" s="35">
        <v>12000</v>
      </c>
      <c r="P5" s="21">
        <v>0</v>
      </c>
      <c r="Q5" s="21">
        <v>0</v>
      </c>
      <c r="R5" s="23">
        <v>0</v>
      </c>
    </row>
    <row r="6" spans="1:18" ht="10.5" customHeight="1" x14ac:dyDescent="0.35">
      <c r="A6" s="24" t="s">
        <v>48</v>
      </c>
      <c r="B6" s="33" t="s">
        <v>49</v>
      </c>
      <c r="C6" s="26" t="s">
        <v>50</v>
      </c>
      <c r="D6" s="13" t="s">
        <v>50</v>
      </c>
      <c r="E6" s="20" t="s">
        <v>51</v>
      </c>
      <c r="F6" s="22">
        <v>100</v>
      </c>
      <c r="G6" s="22">
        <v>33</v>
      </c>
      <c r="H6" s="27" t="s">
        <v>52</v>
      </c>
      <c r="I6" s="40" t="s">
        <v>42</v>
      </c>
      <c r="J6" s="28">
        <v>2014</v>
      </c>
      <c r="K6" s="29" t="s">
        <v>47</v>
      </c>
      <c r="L6" s="30" t="s">
        <v>53</v>
      </c>
      <c r="M6" s="31">
        <v>25000</v>
      </c>
      <c r="N6" s="32">
        <v>0</v>
      </c>
      <c r="O6" s="35">
        <v>0</v>
      </c>
      <c r="P6" s="21">
        <v>20000</v>
      </c>
      <c r="Q6" s="21">
        <v>0</v>
      </c>
      <c r="R6" s="23">
        <v>5000</v>
      </c>
    </row>
    <row r="7" spans="1:18" ht="10.5" customHeight="1" x14ac:dyDescent="0.35">
      <c r="A7" s="24" t="s">
        <v>44</v>
      </c>
      <c r="B7" s="33" t="s">
        <v>54</v>
      </c>
      <c r="C7" s="26" t="s">
        <v>55</v>
      </c>
      <c r="D7" s="13" t="s">
        <v>56</v>
      </c>
      <c r="E7" s="20" t="s">
        <v>57</v>
      </c>
      <c r="F7" s="22">
        <v>230</v>
      </c>
      <c r="G7" s="22">
        <v>0</v>
      </c>
      <c r="H7" s="27" t="s">
        <v>33</v>
      </c>
      <c r="I7" s="40" t="s">
        <v>42</v>
      </c>
      <c r="J7" s="28">
        <v>2008</v>
      </c>
      <c r="K7" s="34" t="s">
        <v>34</v>
      </c>
      <c r="L7" s="30" t="s">
        <v>58</v>
      </c>
      <c r="M7" s="31">
        <v>5000</v>
      </c>
      <c r="N7" s="32">
        <v>5000</v>
      </c>
      <c r="O7" s="35">
        <v>0</v>
      </c>
      <c r="P7" s="21">
        <v>0</v>
      </c>
      <c r="Q7" s="21">
        <v>0</v>
      </c>
      <c r="R7" s="23">
        <v>0</v>
      </c>
    </row>
    <row r="8" spans="1:18" ht="10.5" customHeight="1" x14ac:dyDescent="0.35">
      <c r="A8" s="24" t="s">
        <v>44</v>
      </c>
      <c r="B8" s="33" t="s">
        <v>54</v>
      </c>
      <c r="C8" s="26" t="s">
        <v>59</v>
      </c>
      <c r="D8" s="13" t="s">
        <v>60</v>
      </c>
      <c r="E8" s="13" t="s">
        <v>2150</v>
      </c>
      <c r="F8" s="22">
        <v>500</v>
      </c>
      <c r="G8" s="22">
        <v>0</v>
      </c>
      <c r="H8" s="27" t="s">
        <v>33</v>
      </c>
      <c r="I8" s="13" t="s">
        <v>42</v>
      </c>
      <c r="J8" s="28">
        <v>2018</v>
      </c>
      <c r="K8" s="34" t="s">
        <v>34</v>
      </c>
      <c r="L8" s="30" t="s">
        <v>61</v>
      </c>
      <c r="M8" s="31">
        <v>12410</v>
      </c>
      <c r="N8" s="32">
        <v>1460</v>
      </c>
      <c r="O8" s="35">
        <v>10950</v>
      </c>
      <c r="P8" s="21">
        <v>0</v>
      </c>
      <c r="Q8" s="21">
        <v>0</v>
      </c>
      <c r="R8" s="23">
        <v>0</v>
      </c>
    </row>
    <row r="9" spans="1:18" ht="10.5" customHeight="1" x14ac:dyDescent="0.35">
      <c r="A9" s="24" t="s">
        <v>44</v>
      </c>
      <c r="B9" s="48" t="s">
        <v>66</v>
      </c>
      <c r="C9" s="26" t="s">
        <v>67</v>
      </c>
      <c r="D9" s="13" t="s">
        <v>68</v>
      </c>
      <c r="E9" s="13" t="s">
        <v>69</v>
      </c>
      <c r="F9" s="22">
        <v>1200</v>
      </c>
      <c r="G9" s="22">
        <v>0</v>
      </c>
      <c r="H9" s="27" t="s">
        <v>33</v>
      </c>
      <c r="I9" s="13" t="s">
        <v>42</v>
      </c>
      <c r="J9" s="28">
        <v>2018</v>
      </c>
      <c r="K9" s="29" t="s">
        <v>34</v>
      </c>
      <c r="L9" s="30" t="s">
        <v>70</v>
      </c>
      <c r="M9" s="31">
        <v>26550</v>
      </c>
      <c r="N9" s="32">
        <v>22550</v>
      </c>
      <c r="O9" s="35">
        <v>0</v>
      </c>
      <c r="P9" s="21">
        <v>0</v>
      </c>
      <c r="Q9" s="21">
        <v>0</v>
      </c>
      <c r="R9" s="23">
        <v>4000</v>
      </c>
    </row>
    <row r="10" spans="1:18" ht="10.5" customHeight="1" x14ac:dyDescent="0.35">
      <c r="A10" s="24" t="s">
        <v>48</v>
      </c>
      <c r="B10" s="33" t="s">
        <v>71</v>
      </c>
      <c r="C10" s="26" t="s">
        <v>72</v>
      </c>
      <c r="D10" s="13" t="s">
        <v>72</v>
      </c>
      <c r="E10" s="20" t="s">
        <v>73</v>
      </c>
      <c r="F10" s="22">
        <v>1300</v>
      </c>
      <c r="G10" s="22">
        <v>0</v>
      </c>
      <c r="H10" s="27" t="s">
        <v>33</v>
      </c>
      <c r="I10" s="40" t="s">
        <v>42</v>
      </c>
      <c r="J10" s="28" t="s">
        <v>93</v>
      </c>
      <c r="K10" s="34" t="s">
        <v>34</v>
      </c>
      <c r="L10" s="30" t="s">
        <v>74</v>
      </c>
      <c r="M10" s="31">
        <v>36500</v>
      </c>
      <c r="N10" s="32">
        <v>0</v>
      </c>
      <c r="O10" s="35">
        <v>0</v>
      </c>
      <c r="P10" s="21">
        <v>0</v>
      </c>
      <c r="Q10" s="21">
        <v>36500</v>
      </c>
      <c r="R10" s="23">
        <v>0</v>
      </c>
    </row>
    <row r="11" spans="1:18" ht="10.5" customHeight="1" x14ac:dyDescent="0.35">
      <c r="A11" s="24" t="s">
        <v>48</v>
      </c>
      <c r="B11" s="33" t="s">
        <v>75</v>
      </c>
      <c r="C11" s="26" t="s">
        <v>76</v>
      </c>
      <c r="D11" s="13" t="s">
        <v>77</v>
      </c>
      <c r="E11" s="20" t="s">
        <v>78</v>
      </c>
      <c r="F11" s="22">
        <v>430</v>
      </c>
      <c r="G11" s="22">
        <v>0</v>
      </c>
      <c r="H11" s="27" t="s">
        <v>33</v>
      </c>
      <c r="I11" s="40" t="s">
        <v>42</v>
      </c>
      <c r="J11" s="28">
        <v>2014</v>
      </c>
      <c r="K11" s="29" t="s">
        <v>34</v>
      </c>
      <c r="L11" s="30" t="s">
        <v>79</v>
      </c>
      <c r="M11" s="31">
        <v>10000</v>
      </c>
      <c r="N11" s="32">
        <v>0</v>
      </c>
      <c r="O11" s="35">
        <v>10000</v>
      </c>
      <c r="P11" s="21">
        <v>0</v>
      </c>
      <c r="Q11" s="21">
        <v>0</v>
      </c>
      <c r="R11" s="23">
        <v>0</v>
      </c>
    </row>
    <row r="12" spans="1:18" ht="10.5" customHeight="1" x14ac:dyDescent="0.35">
      <c r="A12" s="24" t="s">
        <v>30</v>
      </c>
      <c r="B12" s="48" t="s">
        <v>80</v>
      </c>
      <c r="C12" s="26" t="s">
        <v>81</v>
      </c>
      <c r="D12" s="13" t="s">
        <v>82</v>
      </c>
      <c r="E12" s="13" t="s">
        <v>83</v>
      </c>
      <c r="F12" s="22">
        <v>93</v>
      </c>
      <c r="G12" s="22">
        <v>0</v>
      </c>
      <c r="H12" s="27" t="s">
        <v>33</v>
      </c>
      <c r="I12" s="40" t="s">
        <v>42</v>
      </c>
      <c r="J12" s="28">
        <v>2017</v>
      </c>
      <c r="K12" s="29" t="s">
        <v>34</v>
      </c>
      <c r="L12" s="30" t="s">
        <v>84</v>
      </c>
      <c r="M12" s="31">
        <v>5770</v>
      </c>
      <c r="N12" s="32">
        <v>2020</v>
      </c>
      <c r="O12" s="35">
        <v>1100</v>
      </c>
      <c r="P12" s="21">
        <v>0</v>
      </c>
      <c r="Q12" s="21">
        <v>2650</v>
      </c>
      <c r="R12" s="23">
        <v>0</v>
      </c>
    </row>
    <row r="13" spans="1:18" ht="10.5" customHeight="1" x14ac:dyDescent="0.35">
      <c r="A13" s="24" t="s">
        <v>85</v>
      </c>
      <c r="B13" s="33" t="s">
        <v>86</v>
      </c>
      <c r="C13" s="26" t="s">
        <v>87</v>
      </c>
      <c r="D13" s="13" t="s">
        <v>88</v>
      </c>
      <c r="E13" s="20" t="s">
        <v>89</v>
      </c>
      <c r="F13" s="22">
        <v>1100</v>
      </c>
      <c r="G13" s="22">
        <v>0</v>
      </c>
      <c r="H13" s="27" t="s">
        <v>33</v>
      </c>
      <c r="I13" s="40" t="s">
        <v>42</v>
      </c>
      <c r="J13" s="28">
        <v>2016</v>
      </c>
      <c r="K13" s="34" t="s">
        <v>47</v>
      </c>
      <c r="L13" s="37" t="s">
        <v>90</v>
      </c>
      <c r="M13" s="31">
        <v>40000</v>
      </c>
      <c r="N13" s="32">
        <v>0</v>
      </c>
      <c r="O13" s="35">
        <v>0</v>
      </c>
      <c r="P13" s="21">
        <v>24000</v>
      </c>
      <c r="Q13" s="21">
        <v>0</v>
      </c>
      <c r="R13" s="23">
        <v>16000</v>
      </c>
    </row>
    <row r="14" spans="1:18" ht="10.5" customHeight="1" x14ac:dyDescent="0.35">
      <c r="A14" s="24" t="s">
        <v>85</v>
      </c>
      <c r="B14" s="33" t="s">
        <v>86</v>
      </c>
      <c r="C14" s="26" t="s">
        <v>1299</v>
      </c>
      <c r="D14" s="39" t="s">
        <v>2098</v>
      </c>
      <c r="E14" s="13" t="s">
        <v>2137</v>
      </c>
      <c r="F14" s="22">
        <v>2400</v>
      </c>
      <c r="G14" s="22">
        <v>550</v>
      </c>
      <c r="H14" s="27" t="s">
        <v>52</v>
      </c>
      <c r="I14" s="13" t="s">
        <v>42</v>
      </c>
      <c r="J14" s="28">
        <v>2016</v>
      </c>
      <c r="K14" s="34" t="s">
        <v>47</v>
      </c>
      <c r="L14" s="30" t="s">
        <v>1247</v>
      </c>
      <c r="M14" s="31">
        <v>82500</v>
      </c>
      <c r="N14" s="32">
        <v>0</v>
      </c>
      <c r="O14" s="35">
        <v>0</v>
      </c>
      <c r="P14" s="21">
        <v>50000</v>
      </c>
      <c r="Q14" s="21">
        <v>0</v>
      </c>
      <c r="R14" s="23">
        <v>32500</v>
      </c>
    </row>
    <row r="15" spans="1:18" x14ac:dyDescent="0.35">
      <c r="A15" s="24" t="s">
        <v>35</v>
      </c>
      <c r="B15" s="33" t="s">
        <v>36</v>
      </c>
      <c r="C15" s="26" t="s">
        <v>96</v>
      </c>
      <c r="D15" s="13" t="s">
        <v>97</v>
      </c>
      <c r="E15" s="20" t="s">
        <v>98</v>
      </c>
      <c r="F15" s="22">
        <v>1600</v>
      </c>
      <c r="G15" s="22">
        <v>0</v>
      </c>
      <c r="H15" s="27" t="s">
        <v>33</v>
      </c>
      <c r="I15" s="40" t="s">
        <v>42</v>
      </c>
      <c r="J15" s="28" t="s">
        <v>93</v>
      </c>
      <c r="K15" s="29" t="s">
        <v>47</v>
      </c>
      <c r="L15" s="30" t="s">
        <v>99</v>
      </c>
      <c r="M15" s="31">
        <v>32000</v>
      </c>
      <c r="N15" s="32">
        <v>2000</v>
      </c>
      <c r="O15" s="35">
        <v>0</v>
      </c>
      <c r="P15" s="21">
        <v>30000</v>
      </c>
      <c r="Q15" s="21">
        <v>0</v>
      </c>
      <c r="R15" s="23">
        <v>0</v>
      </c>
    </row>
    <row r="16" spans="1:18" ht="10.5" customHeight="1" x14ac:dyDescent="0.35">
      <c r="A16" s="24" t="s">
        <v>100</v>
      </c>
      <c r="B16" s="33" t="s">
        <v>101</v>
      </c>
      <c r="C16" s="26" t="s">
        <v>102</v>
      </c>
      <c r="D16" s="13" t="s">
        <v>103</v>
      </c>
      <c r="E16" s="13" t="s">
        <v>104</v>
      </c>
      <c r="F16" s="22">
        <v>1900</v>
      </c>
      <c r="G16" s="22">
        <v>0</v>
      </c>
      <c r="H16" s="27" t="s">
        <v>33</v>
      </c>
      <c r="I16" s="40" t="s">
        <v>42</v>
      </c>
      <c r="J16" s="28">
        <v>2016</v>
      </c>
      <c r="K16" s="34" t="s">
        <v>47</v>
      </c>
      <c r="L16" s="30" t="s">
        <v>105</v>
      </c>
      <c r="M16" s="31">
        <v>25000</v>
      </c>
      <c r="N16" s="32">
        <v>5000</v>
      </c>
      <c r="O16" s="35">
        <v>0</v>
      </c>
      <c r="P16" s="21">
        <v>10000</v>
      </c>
      <c r="Q16" s="21">
        <v>0</v>
      </c>
      <c r="R16" s="23">
        <v>10000</v>
      </c>
    </row>
    <row r="17" spans="1:18" ht="10.5" customHeight="1" x14ac:dyDescent="0.35">
      <c r="A17" s="24" t="s">
        <v>44</v>
      </c>
      <c r="B17" s="33" t="s">
        <v>106</v>
      </c>
      <c r="C17" s="26" t="s">
        <v>107</v>
      </c>
      <c r="D17" s="13" t="s">
        <v>108</v>
      </c>
      <c r="E17" s="13" t="s">
        <v>109</v>
      </c>
      <c r="F17" s="22">
        <v>250</v>
      </c>
      <c r="G17" s="22">
        <v>0</v>
      </c>
      <c r="H17" s="27" t="s">
        <v>33</v>
      </c>
      <c r="I17" s="40" t="s">
        <v>42</v>
      </c>
      <c r="J17" s="28" t="s">
        <v>93</v>
      </c>
      <c r="K17" s="34" t="s">
        <v>34</v>
      </c>
      <c r="L17" s="30" t="s">
        <v>110</v>
      </c>
      <c r="M17" s="31">
        <v>7665</v>
      </c>
      <c r="N17" s="32">
        <v>1825</v>
      </c>
      <c r="O17" s="35">
        <v>5840</v>
      </c>
      <c r="P17" s="35">
        <v>0</v>
      </c>
      <c r="Q17" s="35">
        <v>0</v>
      </c>
      <c r="R17" s="23">
        <v>0</v>
      </c>
    </row>
    <row r="18" spans="1:18" ht="10.5" customHeight="1" x14ac:dyDescent="0.35">
      <c r="A18" s="24" t="s">
        <v>44</v>
      </c>
      <c r="B18" s="33" t="s">
        <v>45</v>
      </c>
      <c r="C18" s="26" t="s">
        <v>111</v>
      </c>
      <c r="D18" s="41" t="s">
        <v>112</v>
      </c>
      <c r="E18" s="20" t="s">
        <v>113</v>
      </c>
      <c r="F18" s="22">
        <v>500</v>
      </c>
      <c r="G18" s="22">
        <v>0</v>
      </c>
      <c r="H18" s="27" t="s">
        <v>33</v>
      </c>
      <c r="I18" s="40" t="s">
        <v>42</v>
      </c>
      <c r="J18" s="28">
        <v>2015</v>
      </c>
      <c r="K18" s="29" t="s">
        <v>34</v>
      </c>
      <c r="L18" s="30" t="s">
        <v>110</v>
      </c>
      <c r="M18" s="31">
        <v>14600</v>
      </c>
      <c r="N18" s="32">
        <v>3650</v>
      </c>
      <c r="O18" s="21">
        <v>10950</v>
      </c>
      <c r="P18" s="21">
        <v>0</v>
      </c>
      <c r="Q18" s="21">
        <v>0</v>
      </c>
      <c r="R18" s="23">
        <v>0</v>
      </c>
    </row>
    <row r="19" spans="1:18" ht="10.5" customHeight="1" x14ac:dyDescent="0.35">
      <c r="A19" s="24" t="s">
        <v>44</v>
      </c>
      <c r="B19" s="33" t="s">
        <v>45</v>
      </c>
      <c r="C19" s="26" t="s">
        <v>115</v>
      </c>
      <c r="D19" s="13" t="s">
        <v>116</v>
      </c>
      <c r="E19" s="20" t="s">
        <v>2156</v>
      </c>
      <c r="F19" s="22">
        <v>500</v>
      </c>
      <c r="G19" s="22">
        <v>0</v>
      </c>
      <c r="H19" s="27" t="s">
        <v>33</v>
      </c>
      <c r="I19" s="40" t="s">
        <v>42</v>
      </c>
      <c r="J19" s="28">
        <v>2016</v>
      </c>
      <c r="K19" s="29" t="s">
        <v>34</v>
      </c>
      <c r="L19" s="30" t="s">
        <v>117</v>
      </c>
      <c r="M19" s="31">
        <v>16875</v>
      </c>
      <c r="N19" s="32">
        <v>3900</v>
      </c>
      <c r="O19" s="21">
        <v>12975</v>
      </c>
      <c r="P19" s="21">
        <v>0</v>
      </c>
      <c r="Q19" s="35">
        <v>0</v>
      </c>
      <c r="R19" s="23">
        <v>0</v>
      </c>
    </row>
    <row r="20" spans="1:18" ht="10.5" customHeight="1" x14ac:dyDescent="0.35">
      <c r="A20" s="24" t="s">
        <v>100</v>
      </c>
      <c r="B20" s="33" t="s">
        <v>118</v>
      </c>
      <c r="C20" s="26" t="s">
        <v>119</v>
      </c>
      <c r="D20" s="13" t="s">
        <v>120</v>
      </c>
      <c r="E20" s="20" t="s">
        <v>121</v>
      </c>
      <c r="F20" s="22">
        <v>250</v>
      </c>
      <c r="G20" s="22">
        <v>0</v>
      </c>
      <c r="H20" s="27" t="s">
        <v>33</v>
      </c>
      <c r="I20" s="40" t="s">
        <v>42</v>
      </c>
      <c r="J20" s="28">
        <v>2016</v>
      </c>
      <c r="K20" s="34" t="s">
        <v>34</v>
      </c>
      <c r="L20" s="30" t="s">
        <v>122</v>
      </c>
      <c r="M20" s="31">
        <v>5400</v>
      </c>
      <c r="N20" s="32">
        <v>1900</v>
      </c>
      <c r="O20" s="35">
        <v>3500</v>
      </c>
      <c r="P20" s="21">
        <v>0</v>
      </c>
      <c r="Q20" s="21">
        <v>0</v>
      </c>
      <c r="R20" s="23">
        <v>0</v>
      </c>
    </row>
    <row r="21" spans="1:18" x14ac:dyDescent="0.35">
      <c r="A21" s="24" t="s">
        <v>94</v>
      </c>
      <c r="B21" s="33" t="s">
        <v>123</v>
      </c>
      <c r="C21" s="26" t="s">
        <v>124</v>
      </c>
      <c r="D21" s="13" t="s">
        <v>125</v>
      </c>
      <c r="E21" s="13" t="s">
        <v>126</v>
      </c>
      <c r="F21" s="22">
        <v>1000</v>
      </c>
      <c r="G21" s="22">
        <v>0</v>
      </c>
      <c r="H21" s="27" t="s">
        <v>33</v>
      </c>
      <c r="I21" s="40" t="s">
        <v>42</v>
      </c>
      <c r="J21" s="28">
        <v>2016</v>
      </c>
      <c r="K21" s="29" t="s">
        <v>34</v>
      </c>
      <c r="L21" s="30" t="s">
        <v>127</v>
      </c>
      <c r="M21" s="31">
        <v>22000</v>
      </c>
      <c r="N21" s="32">
        <v>0</v>
      </c>
      <c r="O21" s="35">
        <v>22000</v>
      </c>
      <c r="P21" s="21">
        <v>0</v>
      </c>
      <c r="Q21" s="35">
        <v>0</v>
      </c>
      <c r="R21" s="23">
        <v>0</v>
      </c>
    </row>
    <row r="22" spans="1:18" ht="10.5" customHeight="1" x14ac:dyDescent="0.35">
      <c r="A22" s="24" t="s">
        <v>91</v>
      </c>
      <c r="B22" s="33" t="s">
        <v>128</v>
      </c>
      <c r="C22" s="26" t="s">
        <v>129</v>
      </c>
      <c r="D22" s="13" t="s">
        <v>130</v>
      </c>
      <c r="E22" s="20" t="s">
        <v>131</v>
      </c>
      <c r="F22" s="22">
        <v>500</v>
      </c>
      <c r="G22" s="22">
        <v>0</v>
      </c>
      <c r="H22" s="27" t="s">
        <v>33</v>
      </c>
      <c r="I22" s="40" t="s">
        <v>42</v>
      </c>
      <c r="J22" s="28">
        <v>2013</v>
      </c>
      <c r="K22" s="34" t="s">
        <v>47</v>
      </c>
      <c r="L22" s="30" t="s">
        <v>132</v>
      </c>
      <c r="M22" s="31">
        <v>45000</v>
      </c>
      <c r="N22" s="32">
        <v>0</v>
      </c>
      <c r="O22" s="35">
        <v>0</v>
      </c>
      <c r="P22" s="21">
        <v>0</v>
      </c>
      <c r="Q22" s="21">
        <v>0</v>
      </c>
      <c r="R22" s="23">
        <v>45000</v>
      </c>
    </row>
    <row r="23" spans="1:18" ht="10.5" customHeight="1" x14ac:dyDescent="0.35">
      <c r="A23" s="24" t="s">
        <v>100</v>
      </c>
      <c r="B23" s="33" t="s">
        <v>101</v>
      </c>
      <c r="C23" s="26" t="s">
        <v>1533</v>
      </c>
      <c r="D23" s="13" t="s">
        <v>2133</v>
      </c>
      <c r="E23" s="20" t="s">
        <v>1796</v>
      </c>
      <c r="F23" s="22">
        <v>1000</v>
      </c>
      <c r="G23" s="22">
        <v>0</v>
      </c>
      <c r="H23" s="27" t="s">
        <v>33</v>
      </c>
      <c r="I23" s="40" t="s">
        <v>42</v>
      </c>
      <c r="J23" s="28">
        <v>2015</v>
      </c>
      <c r="K23" s="34" t="s">
        <v>47</v>
      </c>
      <c r="L23" s="30" t="s">
        <v>152</v>
      </c>
      <c r="M23" s="43">
        <v>20000</v>
      </c>
      <c r="N23" s="32">
        <v>0</v>
      </c>
      <c r="O23" s="21">
        <v>0</v>
      </c>
      <c r="P23" s="21">
        <v>20000</v>
      </c>
      <c r="Q23" s="21">
        <v>0</v>
      </c>
      <c r="R23" s="23">
        <v>0</v>
      </c>
    </row>
    <row r="24" spans="1:18" ht="10.5" customHeight="1" x14ac:dyDescent="0.35">
      <c r="A24" s="24" t="s">
        <v>63</v>
      </c>
      <c r="B24" s="33" t="s">
        <v>134</v>
      </c>
      <c r="C24" s="26" t="s">
        <v>135</v>
      </c>
      <c r="D24" s="13" t="s">
        <v>136</v>
      </c>
      <c r="E24" s="20" t="s">
        <v>137</v>
      </c>
      <c r="F24" s="22">
        <v>150</v>
      </c>
      <c r="G24" s="22">
        <v>0</v>
      </c>
      <c r="H24" s="27" t="s">
        <v>33</v>
      </c>
      <c r="I24" s="40" t="s">
        <v>42</v>
      </c>
      <c r="J24" s="28">
        <v>2015</v>
      </c>
      <c r="K24" s="29" t="s">
        <v>34</v>
      </c>
      <c r="L24" s="30" t="s">
        <v>138</v>
      </c>
      <c r="M24" s="31">
        <v>1000</v>
      </c>
      <c r="N24" s="32">
        <v>500</v>
      </c>
      <c r="O24" s="21">
        <v>500</v>
      </c>
      <c r="P24" s="21">
        <v>0</v>
      </c>
      <c r="Q24" s="21">
        <v>0</v>
      </c>
      <c r="R24" s="23">
        <v>0</v>
      </c>
    </row>
    <row r="25" spans="1:18" ht="10.5" customHeight="1" x14ac:dyDescent="0.35">
      <c r="A25" s="24" t="s">
        <v>94</v>
      </c>
      <c r="B25" s="33" t="s">
        <v>123</v>
      </c>
      <c r="C25" s="26" t="s">
        <v>139</v>
      </c>
      <c r="D25" s="13" t="s">
        <v>140</v>
      </c>
      <c r="E25" s="20" t="s">
        <v>141</v>
      </c>
      <c r="F25" s="22">
        <v>465</v>
      </c>
      <c r="G25" s="22">
        <v>550</v>
      </c>
      <c r="H25" s="27" t="s">
        <v>52</v>
      </c>
      <c r="I25" s="40" t="s">
        <v>42</v>
      </c>
      <c r="J25" s="28">
        <v>2016</v>
      </c>
      <c r="K25" s="29" t="s">
        <v>47</v>
      </c>
      <c r="L25" s="30" t="s">
        <v>142</v>
      </c>
      <c r="M25" s="31">
        <v>60225</v>
      </c>
      <c r="N25" s="32">
        <v>0</v>
      </c>
      <c r="O25" s="21">
        <v>0</v>
      </c>
      <c r="P25" s="21">
        <v>0</v>
      </c>
      <c r="Q25" s="21">
        <v>0</v>
      </c>
      <c r="R25" s="23">
        <v>60225</v>
      </c>
    </row>
    <row r="26" spans="1:18" ht="10.5" customHeight="1" x14ac:dyDescent="0.35">
      <c r="A26" s="24" t="s">
        <v>91</v>
      </c>
      <c r="B26" s="33" t="s">
        <v>128</v>
      </c>
      <c r="C26" s="26" t="s">
        <v>2081</v>
      </c>
      <c r="D26" s="13" t="s">
        <v>2124</v>
      </c>
      <c r="E26" s="20" t="s">
        <v>131</v>
      </c>
      <c r="F26" s="22">
        <v>2400</v>
      </c>
      <c r="G26" s="22">
        <v>990.00000000000011</v>
      </c>
      <c r="H26" s="27" t="s">
        <v>52</v>
      </c>
      <c r="I26" s="40" t="s">
        <v>42</v>
      </c>
      <c r="J26" s="28">
        <v>2016</v>
      </c>
      <c r="K26" s="29" t="s">
        <v>47</v>
      </c>
      <c r="L26" s="30" t="s">
        <v>133</v>
      </c>
      <c r="M26" s="31">
        <v>50000</v>
      </c>
      <c r="N26" s="32">
        <v>0</v>
      </c>
      <c r="O26" s="21">
        <v>0</v>
      </c>
      <c r="P26" s="21">
        <v>50000</v>
      </c>
      <c r="Q26" s="21">
        <v>0</v>
      </c>
      <c r="R26" s="23">
        <v>0</v>
      </c>
    </row>
    <row r="27" spans="1:18" ht="10.5" customHeight="1" x14ac:dyDescent="0.35">
      <c r="A27" s="24" t="s">
        <v>94</v>
      </c>
      <c r="B27" s="33" t="s">
        <v>143</v>
      </c>
      <c r="C27" s="26" t="s">
        <v>144</v>
      </c>
      <c r="D27" s="13" t="s">
        <v>145</v>
      </c>
      <c r="E27" s="20" t="s">
        <v>146</v>
      </c>
      <c r="F27" s="22">
        <v>475</v>
      </c>
      <c r="G27" s="22">
        <v>0</v>
      </c>
      <c r="H27" s="27" t="s">
        <v>33</v>
      </c>
      <c r="I27" s="40" t="s">
        <v>42</v>
      </c>
      <c r="J27" s="28">
        <v>2015</v>
      </c>
      <c r="K27" s="29" t="s">
        <v>34</v>
      </c>
      <c r="L27" s="30" t="s">
        <v>147</v>
      </c>
      <c r="M27" s="31">
        <v>17000</v>
      </c>
      <c r="N27" s="32">
        <v>15000</v>
      </c>
      <c r="O27" s="35">
        <v>0</v>
      </c>
      <c r="P27" s="21">
        <v>0</v>
      </c>
      <c r="Q27" s="21">
        <v>2000</v>
      </c>
      <c r="R27" s="23">
        <v>0</v>
      </c>
    </row>
    <row r="28" spans="1:18" ht="10.5" customHeight="1" x14ac:dyDescent="0.35">
      <c r="A28" s="24" t="s">
        <v>38</v>
      </c>
      <c r="B28" s="33" t="s">
        <v>148</v>
      </c>
      <c r="C28" s="26" t="s">
        <v>149</v>
      </c>
      <c r="D28" s="13" t="s">
        <v>150</v>
      </c>
      <c r="E28" s="20" t="s">
        <v>151</v>
      </c>
      <c r="F28" s="22">
        <v>2650</v>
      </c>
      <c r="G28" s="22">
        <v>0</v>
      </c>
      <c r="H28" s="27" t="s">
        <v>33</v>
      </c>
      <c r="I28" s="40" t="s">
        <v>42</v>
      </c>
      <c r="J28" s="28">
        <v>2015</v>
      </c>
      <c r="K28" s="34" t="s">
        <v>47</v>
      </c>
      <c r="L28" s="30" t="s">
        <v>152</v>
      </c>
      <c r="M28" s="31">
        <v>45000</v>
      </c>
      <c r="N28" s="32">
        <v>0</v>
      </c>
      <c r="O28" s="21">
        <v>0</v>
      </c>
      <c r="P28" s="21">
        <v>45000</v>
      </c>
      <c r="Q28" s="21">
        <v>0</v>
      </c>
      <c r="R28" s="23">
        <v>0</v>
      </c>
    </row>
    <row r="29" spans="1:18" ht="10.5" customHeight="1" x14ac:dyDescent="0.35">
      <c r="A29" s="24" t="s">
        <v>30</v>
      </c>
      <c r="B29" s="33" t="s">
        <v>80</v>
      </c>
      <c r="C29" s="26" t="s">
        <v>153</v>
      </c>
      <c r="D29" s="13" t="s">
        <v>154</v>
      </c>
      <c r="E29" s="20" t="s">
        <v>155</v>
      </c>
      <c r="F29" s="22">
        <v>127.5</v>
      </c>
      <c r="G29" s="22">
        <v>0</v>
      </c>
      <c r="H29" s="27" t="s">
        <v>33</v>
      </c>
      <c r="I29" s="40" t="s">
        <v>42</v>
      </c>
      <c r="J29" s="28">
        <v>2017</v>
      </c>
      <c r="K29" s="34" t="s">
        <v>34</v>
      </c>
      <c r="L29" s="38" t="s">
        <v>156</v>
      </c>
      <c r="M29" s="31">
        <v>5000</v>
      </c>
      <c r="N29" s="32">
        <v>3500</v>
      </c>
      <c r="O29" s="35">
        <v>1500</v>
      </c>
      <c r="P29" s="21">
        <v>0</v>
      </c>
      <c r="Q29" s="35">
        <v>0</v>
      </c>
      <c r="R29" s="23">
        <v>0</v>
      </c>
    </row>
    <row r="30" spans="1:18" ht="10.5" customHeight="1" x14ac:dyDescent="0.35">
      <c r="A30" s="24" t="s">
        <v>30</v>
      </c>
      <c r="B30" s="33" t="s">
        <v>80</v>
      </c>
      <c r="C30" s="26" t="s">
        <v>157</v>
      </c>
      <c r="D30" s="13" t="s">
        <v>158</v>
      </c>
      <c r="E30" s="20" t="s">
        <v>159</v>
      </c>
      <c r="F30" s="22">
        <v>500</v>
      </c>
      <c r="G30" s="22">
        <v>0</v>
      </c>
      <c r="H30" s="27" t="s">
        <v>33</v>
      </c>
      <c r="I30" s="40" t="s">
        <v>42</v>
      </c>
      <c r="J30" s="28">
        <v>2016</v>
      </c>
      <c r="K30" s="29" t="s">
        <v>47</v>
      </c>
      <c r="L30" s="30" t="s">
        <v>160</v>
      </c>
      <c r="M30" s="31">
        <v>20000</v>
      </c>
      <c r="N30" s="32">
        <v>0</v>
      </c>
      <c r="O30" s="35">
        <v>0</v>
      </c>
      <c r="P30" s="35">
        <v>0</v>
      </c>
      <c r="Q30" s="35">
        <v>0</v>
      </c>
      <c r="R30" s="23">
        <v>20000</v>
      </c>
    </row>
    <row r="31" spans="1:18" ht="10.5" customHeight="1" x14ac:dyDescent="0.35">
      <c r="A31" s="24" t="s">
        <v>38</v>
      </c>
      <c r="B31" s="33" t="s">
        <v>148</v>
      </c>
      <c r="C31" s="26" t="s">
        <v>162</v>
      </c>
      <c r="D31" s="13" t="s">
        <v>163</v>
      </c>
      <c r="E31" s="20" t="s">
        <v>164</v>
      </c>
      <c r="F31" s="22">
        <v>930</v>
      </c>
      <c r="G31" s="22">
        <v>1000</v>
      </c>
      <c r="H31" s="27" t="s">
        <v>52</v>
      </c>
      <c r="I31" s="13" t="s">
        <v>42</v>
      </c>
      <c r="J31" s="28">
        <v>2016</v>
      </c>
      <c r="K31" s="34" t="s">
        <v>34</v>
      </c>
      <c r="L31" s="30" t="s">
        <v>165</v>
      </c>
      <c r="M31" s="31">
        <v>25000</v>
      </c>
      <c r="N31" s="32">
        <v>0</v>
      </c>
      <c r="O31" s="21">
        <v>25000</v>
      </c>
      <c r="P31" s="35">
        <v>0</v>
      </c>
      <c r="Q31" s="21">
        <v>0</v>
      </c>
      <c r="R31" s="23">
        <v>0</v>
      </c>
    </row>
    <row r="32" spans="1:18" ht="10.5" customHeight="1" x14ac:dyDescent="0.35">
      <c r="A32" s="24" t="s">
        <v>38</v>
      </c>
      <c r="B32" s="33" t="s">
        <v>39</v>
      </c>
      <c r="C32" s="26" t="s">
        <v>168</v>
      </c>
      <c r="D32" s="13" t="s">
        <v>168</v>
      </c>
      <c r="E32" s="20" t="s">
        <v>169</v>
      </c>
      <c r="F32" s="22">
        <v>449</v>
      </c>
      <c r="G32" s="22">
        <v>0</v>
      </c>
      <c r="H32" s="27" t="s">
        <v>33</v>
      </c>
      <c r="I32" s="40" t="s">
        <v>42</v>
      </c>
      <c r="J32" s="28">
        <v>2014</v>
      </c>
      <c r="K32" s="29" t="s">
        <v>34</v>
      </c>
      <c r="L32" s="30" t="s">
        <v>170</v>
      </c>
      <c r="M32" s="31">
        <v>11800</v>
      </c>
      <c r="N32" s="32">
        <v>4800</v>
      </c>
      <c r="O32" s="35">
        <v>7000</v>
      </c>
      <c r="P32" s="21">
        <v>0</v>
      </c>
      <c r="Q32" s="35">
        <v>0</v>
      </c>
      <c r="R32" s="23">
        <v>0</v>
      </c>
    </row>
    <row r="33" spans="1:18" ht="10.5" customHeight="1" x14ac:dyDescent="0.35">
      <c r="A33" s="24" t="s">
        <v>44</v>
      </c>
      <c r="B33" s="33" t="s">
        <v>54</v>
      </c>
      <c r="C33" s="42" t="s">
        <v>175</v>
      </c>
      <c r="D33" s="13" t="s">
        <v>176</v>
      </c>
      <c r="E33" s="20" t="s">
        <v>177</v>
      </c>
      <c r="F33" s="22">
        <v>500</v>
      </c>
      <c r="G33" s="22">
        <v>0</v>
      </c>
      <c r="H33" s="27" t="s">
        <v>33</v>
      </c>
      <c r="I33" s="40" t="s">
        <v>42</v>
      </c>
      <c r="J33" s="28">
        <v>2013</v>
      </c>
      <c r="K33" s="29" t="s">
        <v>34</v>
      </c>
      <c r="L33" s="30" t="s">
        <v>178</v>
      </c>
      <c r="M33" s="31">
        <v>18000</v>
      </c>
      <c r="N33" s="32">
        <v>3000</v>
      </c>
      <c r="O33" s="21">
        <v>6000</v>
      </c>
      <c r="P33" s="21">
        <v>0</v>
      </c>
      <c r="Q33" s="21">
        <v>0</v>
      </c>
      <c r="R33" s="23">
        <v>9000</v>
      </c>
    </row>
    <row r="34" spans="1:18" ht="11.15" customHeight="1" x14ac:dyDescent="0.35">
      <c r="A34" s="24" t="s">
        <v>44</v>
      </c>
      <c r="B34" s="33" t="s">
        <v>106</v>
      </c>
      <c r="C34" s="26" t="s">
        <v>180</v>
      </c>
      <c r="D34" s="41" t="s">
        <v>181</v>
      </c>
      <c r="E34" s="20" t="s">
        <v>182</v>
      </c>
      <c r="F34" s="22">
        <v>1000</v>
      </c>
      <c r="G34" s="22">
        <v>0</v>
      </c>
      <c r="H34" s="27" t="s">
        <v>33</v>
      </c>
      <c r="I34" s="40" t="s">
        <v>42</v>
      </c>
      <c r="J34" s="28">
        <v>2012</v>
      </c>
      <c r="K34" s="34" t="s">
        <v>34</v>
      </c>
      <c r="L34" s="30" t="s">
        <v>183</v>
      </c>
      <c r="M34" s="31">
        <v>18800</v>
      </c>
      <c r="N34" s="32">
        <v>5000</v>
      </c>
      <c r="O34" s="21">
        <v>7800</v>
      </c>
      <c r="P34" s="35">
        <v>0</v>
      </c>
      <c r="Q34" s="21">
        <v>0</v>
      </c>
      <c r="R34" s="23">
        <v>6000</v>
      </c>
    </row>
    <row r="35" spans="1:18" ht="10.5" customHeight="1" x14ac:dyDescent="0.35">
      <c r="A35" s="24" t="s">
        <v>44</v>
      </c>
      <c r="B35" s="33" t="s">
        <v>45</v>
      </c>
      <c r="C35" s="26" t="s">
        <v>184</v>
      </c>
      <c r="D35" s="13" t="s">
        <v>185</v>
      </c>
      <c r="E35" s="20" t="s">
        <v>186</v>
      </c>
      <c r="F35" s="22">
        <v>480</v>
      </c>
      <c r="G35" s="22">
        <v>0</v>
      </c>
      <c r="H35" s="27" t="s">
        <v>33</v>
      </c>
      <c r="I35" s="40" t="s">
        <v>42</v>
      </c>
      <c r="J35" s="28">
        <v>2017</v>
      </c>
      <c r="K35" s="34" t="s">
        <v>34</v>
      </c>
      <c r="L35" s="30" t="s">
        <v>187</v>
      </c>
      <c r="M35" s="31">
        <v>18000</v>
      </c>
      <c r="N35" s="32">
        <v>0</v>
      </c>
      <c r="O35" s="35">
        <v>0</v>
      </c>
      <c r="P35" s="35">
        <v>0</v>
      </c>
      <c r="Q35" s="21">
        <v>18000</v>
      </c>
      <c r="R35" s="23">
        <v>0</v>
      </c>
    </row>
    <row r="36" spans="1:18" ht="10.5" customHeight="1" x14ac:dyDescent="0.35">
      <c r="A36" s="24" t="s">
        <v>30</v>
      </c>
      <c r="B36" s="33" t="s">
        <v>31</v>
      </c>
      <c r="C36" s="26" t="s">
        <v>188</v>
      </c>
      <c r="D36" s="13" t="s">
        <v>189</v>
      </c>
      <c r="E36" s="13" t="s">
        <v>190</v>
      </c>
      <c r="F36" s="35">
        <v>86</v>
      </c>
      <c r="G36" s="22">
        <v>0</v>
      </c>
      <c r="H36" s="27" t="s">
        <v>33</v>
      </c>
      <c r="I36" s="40" t="s">
        <v>42</v>
      </c>
      <c r="J36" s="28">
        <v>2017</v>
      </c>
      <c r="K36" s="29" t="s">
        <v>34</v>
      </c>
      <c r="L36" s="30" t="s">
        <v>191</v>
      </c>
      <c r="M36" s="31">
        <v>4000</v>
      </c>
      <c r="N36" s="32">
        <v>4000</v>
      </c>
      <c r="O36" s="21">
        <v>0</v>
      </c>
      <c r="P36" s="35">
        <v>0</v>
      </c>
      <c r="Q36" s="21">
        <v>0</v>
      </c>
      <c r="R36" s="23">
        <v>0</v>
      </c>
    </row>
    <row r="37" spans="1:18" ht="10.5" customHeight="1" x14ac:dyDescent="0.35">
      <c r="A37" s="24" t="s">
        <v>30</v>
      </c>
      <c r="B37" s="33" t="s">
        <v>80</v>
      </c>
      <c r="C37" s="26" t="s">
        <v>192</v>
      </c>
      <c r="D37" s="13" t="s">
        <v>193</v>
      </c>
      <c r="E37" s="20" t="s">
        <v>194</v>
      </c>
      <c r="F37" s="22">
        <v>124</v>
      </c>
      <c r="G37" s="22">
        <v>0</v>
      </c>
      <c r="H37" s="27" t="s">
        <v>33</v>
      </c>
      <c r="I37" s="40" t="s">
        <v>42</v>
      </c>
      <c r="J37" s="28">
        <v>2015</v>
      </c>
      <c r="K37" s="34" t="s">
        <v>34</v>
      </c>
      <c r="L37" s="30" t="s">
        <v>58</v>
      </c>
      <c r="M37" s="31">
        <v>5500</v>
      </c>
      <c r="N37" s="32">
        <v>5500</v>
      </c>
      <c r="O37" s="35">
        <v>0</v>
      </c>
      <c r="P37" s="21">
        <v>0</v>
      </c>
      <c r="Q37" s="21">
        <v>0</v>
      </c>
      <c r="R37" s="23">
        <v>0</v>
      </c>
    </row>
    <row r="38" spans="1:18" ht="10.5" customHeight="1" x14ac:dyDescent="0.35">
      <c r="A38" s="24" t="s">
        <v>30</v>
      </c>
      <c r="B38" s="33" t="s">
        <v>195</v>
      </c>
      <c r="C38" s="42" t="s">
        <v>196</v>
      </c>
      <c r="D38" s="13" t="s">
        <v>197</v>
      </c>
      <c r="E38" s="20" t="s">
        <v>198</v>
      </c>
      <c r="F38" s="22">
        <v>250</v>
      </c>
      <c r="G38" s="22">
        <v>0</v>
      </c>
      <c r="H38" s="27" t="s">
        <v>33</v>
      </c>
      <c r="I38" s="40" t="s">
        <v>42</v>
      </c>
      <c r="J38" s="28" t="s">
        <v>93</v>
      </c>
      <c r="K38" s="29" t="s">
        <v>47</v>
      </c>
      <c r="L38" s="30" t="s">
        <v>199</v>
      </c>
      <c r="M38" s="31">
        <v>5000</v>
      </c>
      <c r="N38" s="32">
        <v>0</v>
      </c>
      <c r="O38" s="35">
        <v>0</v>
      </c>
      <c r="P38" s="21">
        <v>0</v>
      </c>
      <c r="Q38" s="21">
        <v>0</v>
      </c>
      <c r="R38" s="23">
        <v>5000</v>
      </c>
    </row>
    <row r="39" spans="1:18" ht="10.5" customHeight="1" x14ac:dyDescent="0.35">
      <c r="A39" s="24" t="s">
        <v>30</v>
      </c>
      <c r="B39" s="33" t="s">
        <v>80</v>
      </c>
      <c r="C39" s="42" t="s">
        <v>200</v>
      </c>
      <c r="D39" s="13" t="s">
        <v>200</v>
      </c>
      <c r="E39" s="20" t="s">
        <v>201</v>
      </c>
      <c r="F39" s="22">
        <v>500</v>
      </c>
      <c r="G39" s="22">
        <v>0</v>
      </c>
      <c r="H39" s="27" t="s">
        <v>33</v>
      </c>
      <c r="I39" s="40" t="s">
        <v>42</v>
      </c>
      <c r="J39" s="28" t="s">
        <v>93</v>
      </c>
      <c r="K39" s="34" t="s">
        <v>34</v>
      </c>
      <c r="L39" s="30" t="s">
        <v>179</v>
      </c>
      <c r="M39" s="31">
        <v>10000</v>
      </c>
      <c r="N39" s="32">
        <v>8000</v>
      </c>
      <c r="O39" s="35">
        <v>2000</v>
      </c>
      <c r="P39" s="21">
        <v>0</v>
      </c>
      <c r="Q39" s="21">
        <v>0</v>
      </c>
      <c r="R39" s="23">
        <v>0</v>
      </c>
    </row>
    <row r="40" spans="1:18" ht="10.5" customHeight="1" x14ac:dyDescent="0.35">
      <c r="A40" s="24" t="s">
        <v>91</v>
      </c>
      <c r="B40" s="33" t="s">
        <v>202</v>
      </c>
      <c r="C40" s="26" t="s">
        <v>676</v>
      </c>
      <c r="D40" s="13" t="s">
        <v>203</v>
      </c>
      <c r="E40" s="20" t="s">
        <v>204</v>
      </c>
      <c r="F40" s="22">
        <v>2800</v>
      </c>
      <c r="G40" s="22">
        <v>0</v>
      </c>
      <c r="H40" s="27" t="s">
        <v>33</v>
      </c>
      <c r="I40" s="40" t="s">
        <v>42</v>
      </c>
      <c r="J40" s="28">
        <v>2014</v>
      </c>
      <c r="K40" s="29" t="s">
        <v>47</v>
      </c>
      <c r="L40" s="30" t="s">
        <v>152</v>
      </c>
      <c r="M40" s="31">
        <v>40000</v>
      </c>
      <c r="N40" s="32">
        <v>0</v>
      </c>
      <c r="O40" s="35">
        <v>0</v>
      </c>
      <c r="P40" s="21">
        <v>40000</v>
      </c>
      <c r="Q40" s="21">
        <v>0</v>
      </c>
      <c r="R40" s="23">
        <v>0</v>
      </c>
    </row>
    <row r="41" spans="1:18" ht="10.5" customHeight="1" x14ac:dyDescent="0.35">
      <c r="A41" s="24" t="s">
        <v>100</v>
      </c>
      <c r="B41" s="33" t="s">
        <v>118</v>
      </c>
      <c r="C41" s="26" t="s">
        <v>206</v>
      </c>
      <c r="D41" s="39" t="s">
        <v>206</v>
      </c>
      <c r="E41" s="20" t="s">
        <v>207</v>
      </c>
      <c r="F41" s="22">
        <v>125</v>
      </c>
      <c r="G41" s="22">
        <v>0</v>
      </c>
      <c r="H41" s="27" t="s">
        <v>33</v>
      </c>
      <c r="I41" s="40" t="s">
        <v>42</v>
      </c>
      <c r="J41" s="28">
        <v>1991</v>
      </c>
      <c r="K41" s="34" t="s">
        <v>34</v>
      </c>
      <c r="L41" s="38" t="s">
        <v>208</v>
      </c>
      <c r="M41" s="31">
        <v>2680</v>
      </c>
      <c r="N41" s="32">
        <v>2400</v>
      </c>
      <c r="O41" s="35">
        <v>0</v>
      </c>
      <c r="P41" s="21">
        <v>0</v>
      </c>
      <c r="Q41" s="21">
        <v>280</v>
      </c>
      <c r="R41" s="23">
        <v>0</v>
      </c>
    </row>
    <row r="42" spans="1:18" ht="10.5" customHeight="1" x14ac:dyDescent="0.35">
      <c r="A42" s="24" t="s">
        <v>30</v>
      </c>
      <c r="B42" s="33" t="s">
        <v>80</v>
      </c>
      <c r="C42" s="26" t="s">
        <v>215</v>
      </c>
      <c r="D42" s="13" t="s">
        <v>216</v>
      </c>
      <c r="E42" s="20" t="s">
        <v>217</v>
      </c>
      <c r="F42" s="22">
        <v>2700</v>
      </c>
      <c r="G42" s="22">
        <v>0</v>
      </c>
      <c r="H42" s="27" t="s">
        <v>33</v>
      </c>
      <c r="I42" s="40" t="s">
        <v>42</v>
      </c>
      <c r="J42" s="28">
        <v>2011</v>
      </c>
      <c r="K42" s="29" t="s">
        <v>47</v>
      </c>
      <c r="L42" s="30" t="s">
        <v>218</v>
      </c>
      <c r="M42" s="31">
        <v>75000</v>
      </c>
      <c r="N42" s="32">
        <v>0</v>
      </c>
      <c r="O42" s="21">
        <v>35000</v>
      </c>
      <c r="P42" s="21">
        <v>40000</v>
      </c>
      <c r="Q42" s="21">
        <v>0</v>
      </c>
      <c r="R42" s="23">
        <v>0</v>
      </c>
    </row>
    <row r="43" spans="1:18" x14ac:dyDescent="0.35">
      <c r="A43" s="24" t="s">
        <v>100</v>
      </c>
      <c r="B43" s="33" t="s">
        <v>118</v>
      </c>
      <c r="C43" s="26" t="s">
        <v>219</v>
      </c>
      <c r="D43" s="13" t="s">
        <v>220</v>
      </c>
      <c r="E43" s="20" t="s">
        <v>221</v>
      </c>
      <c r="F43" s="22">
        <v>176</v>
      </c>
      <c r="G43" s="22">
        <v>0</v>
      </c>
      <c r="H43" s="27" t="s">
        <v>33</v>
      </c>
      <c r="I43" s="40" t="s">
        <v>42</v>
      </c>
      <c r="J43" s="28">
        <v>2016</v>
      </c>
      <c r="K43" s="34" t="s">
        <v>34</v>
      </c>
      <c r="L43" s="30" t="s">
        <v>191</v>
      </c>
      <c r="M43" s="31">
        <v>8000</v>
      </c>
      <c r="N43" s="32">
        <v>8000</v>
      </c>
      <c r="O43" s="35">
        <v>0</v>
      </c>
      <c r="P43" s="21">
        <v>0</v>
      </c>
      <c r="Q43" s="21">
        <v>0</v>
      </c>
      <c r="R43" s="23">
        <v>0</v>
      </c>
    </row>
    <row r="44" spans="1:18" x14ac:dyDescent="0.35">
      <c r="A44" s="24" t="s">
        <v>48</v>
      </c>
      <c r="B44" s="33" t="s">
        <v>49</v>
      </c>
      <c r="C44" s="26" t="s">
        <v>222</v>
      </c>
      <c r="D44" s="13" t="s">
        <v>223</v>
      </c>
      <c r="E44" s="13" t="s">
        <v>224</v>
      </c>
      <c r="F44" s="22">
        <v>487.02</v>
      </c>
      <c r="G44" s="22">
        <v>0</v>
      </c>
      <c r="H44" s="27" t="s">
        <v>33</v>
      </c>
      <c r="I44" s="40" t="s">
        <v>42</v>
      </c>
      <c r="J44" s="28">
        <v>2014</v>
      </c>
      <c r="K44" s="34" t="s">
        <v>34</v>
      </c>
      <c r="L44" s="30" t="s">
        <v>225</v>
      </c>
      <c r="M44" s="31">
        <v>21000</v>
      </c>
      <c r="N44" s="32">
        <v>8000</v>
      </c>
      <c r="O44" s="35">
        <v>7000</v>
      </c>
      <c r="P44" s="21">
        <v>0</v>
      </c>
      <c r="Q44" s="21">
        <v>6000</v>
      </c>
      <c r="R44" s="23">
        <v>0</v>
      </c>
    </row>
    <row r="45" spans="1:18" ht="10.5" customHeight="1" x14ac:dyDescent="0.35">
      <c r="A45" s="24" t="s">
        <v>44</v>
      </c>
      <c r="B45" s="33" t="s">
        <v>106</v>
      </c>
      <c r="C45" s="26" t="s">
        <v>226</v>
      </c>
      <c r="D45" s="13" t="s">
        <v>227</v>
      </c>
      <c r="E45" s="20" t="s">
        <v>2143</v>
      </c>
      <c r="F45" s="22">
        <v>500</v>
      </c>
      <c r="G45" s="22">
        <v>0</v>
      </c>
      <c r="H45" s="27" t="s">
        <v>33</v>
      </c>
      <c r="I45" s="40" t="s">
        <v>42</v>
      </c>
      <c r="J45" s="28">
        <v>2016</v>
      </c>
      <c r="K45" s="34" t="s">
        <v>34</v>
      </c>
      <c r="L45" s="30" t="s">
        <v>110</v>
      </c>
      <c r="M45" s="31">
        <v>21900</v>
      </c>
      <c r="N45" s="32">
        <v>10950</v>
      </c>
      <c r="O45" s="21">
        <v>10950</v>
      </c>
      <c r="P45" s="21">
        <v>0</v>
      </c>
      <c r="Q45" s="21">
        <v>0</v>
      </c>
      <c r="R45" s="23">
        <v>0</v>
      </c>
    </row>
    <row r="46" spans="1:18" ht="10.5" customHeight="1" x14ac:dyDescent="0.35">
      <c r="A46" s="24" t="s">
        <v>44</v>
      </c>
      <c r="B46" s="33" t="s">
        <v>45</v>
      </c>
      <c r="C46" s="26" t="s">
        <v>229</v>
      </c>
      <c r="D46" s="13" t="s">
        <v>230</v>
      </c>
      <c r="E46" s="13" t="s">
        <v>231</v>
      </c>
      <c r="F46" s="22">
        <v>500</v>
      </c>
      <c r="G46" s="22">
        <v>0</v>
      </c>
      <c r="H46" s="27" t="s">
        <v>33</v>
      </c>
      <c r="I46" s="40" t="s">
        <v>42</v>
      </c>
      <c r="J46" s="28">
        <v>2016</v>
      </c>
      <c r="K46" s="29" t="s">
        <v>34</v>
      </c>
      <c r="L46" s="30" t="s">
        <v>173</v>
      </c>
      <c r="M46" s="31">
        <v>16000</v>
      </c>
      <c r="N46" s="32">
        <v>4000</v>
      </c>
      <c r="O46" s="35">
        <v>12000</v>
      </c>
      <c r="P46" s="21">
        <v>0</v>
      </c>
      <c r="Q46" s="35">
        <v>0</v>
      </c>
      <c r="R46" s="23">
        <v>0</v>
      </c>
    </row>
    <row r="47" spans="1:18" ht="10.5" customHeight="1" x14ac:dyDescent="0.35">
      <c r="A47" s="24" t="s">
        <v>35</v>
      </c>
      <c r="B47" s="33" t="s">
        <v>36</v>
      </c>
      <c r="C47" s="26" t="s">
        <v>232</v>
      </c>
      <c r="D47" s="13" t="s">
        <v>233</v>
      </c>
      <c r="E47" s="20" t="s">
        <v>234</v>
      </c>
      <c r="F47" s="22">
        <v>146.19</v>
      </c>
      <c r="G47" s="22">
        <v>0</v>
      </c>
      <c r="H47" s="27" t="s">
        <v>33</v>
      </c>
      <c r="I47" s="40" t="s">
        <v>42</v>
      </c>
      <c r="J47" s="28">
        <v>2015</v>
      </c>
      <c r="K47" s="34" t="s">
        <v>34</v>
      </c>
      <c r="L47" s="30" t="s">
        <v>235</v>
      </c>
      <c r="M47" s="31">
        <v>4029</v>
      </c>
      <c r="N47" s="32">
        <v>1429</v>
      </c>
      <c r="O47" s="35">
        <v>2600</v>
      </c>
      <c r="P47" s="21">
        <v>0</v>
      </c>
      <c r="Q47" s="21">
        <v>0</v>
      </c>
      <c r="R47" s="23">
        <v>0</v>
      </c>
    </row>
    <row r="48" spans="1:18" ht="10.5" customHeight="1" x14ac:dyDescent="0.35">
      <c r="A48" s="24" t="s">
        <v>38</v>
      </c>
      <c r="B48" s="33" t="s">
        <v>39</v>
      </c>
      <c r="C48" s="26" t="s">
        <v>236</v>
      </c>
      <c r="D48" s="13" t="s">
        <v>237</v>
      </c>
      <c r="E48" s="20" t="s">
        <v>238</v>
      </c>
      <c r="F48" s="22">
        <v>10</v>
      </c>
      <c r="G48" s="22">
        <v>0</v>
      </c>
      <c r="H48" s="27" t="s">
        <v>33</v>
      </c>
      <c r="I48" s="40" t="s">
        <v>42</v>
      </c>
      <c r="J48" s="28">
        <v>2013</v>
      </c>
      <c r="K48" s="29" t="s">
        <v>34</v>
      </c>
      <c r="L48" s="30" t="s">
        <v>239</v>
      </c>
      <c r="M48" s="31">
        <v>300</v>
      </c>
      <c r="N48" s="32">
        <v>100</v>
      </c>
      <c r="O48" s="35">
        <v>100</v>
      </c>
      <c r="P48" s="21">
        <v>100</v>
      </c>
      <c r="Q48" s="21">
        <v>0</v>
      </c>
      <c r="R48" s="23">
        <v>0</v>
      </c>
    </row>
    <row r="49" spans="1:18" ht="10.5" customHeight="1" x14ac:dyDescent="0.35">
      <c r="A49" s="24" t="s">
        <v>38</v>
      </c>
      <c r="B49" s="33" t="s">
        <v>212</v>
      </c>
      <c r="C49" s="26" t="s">
        <v>240</v>
      </c>
      <c r="D49" s="13" t="s">
        <v>241</v>
      </c>
      <c r="E49" s="13" t="s">
        <v>242</v>
      </c>
      <c r="F49" s="22">
        <v>249</v>
      </c>
      <c r="G49" s="22">
        <v>0</v>
      </c>
      <c r="H49" s="27" t="s">
        <v>33</v>
      </c>
      <c r="I49" s="40" t="s">
        <v>42</v>
      </c>
      <c r="J49" s="28">
        <v>2015</v>
      </c>
      <c r="K49" s="34" t="s">
        <v>34</v>
      </c>
      <c r="L49" s="30" t="s">
        <v>243</v>
      </c>
      <c r="M49" s="31">
        <v>8000</v>
      </c>
      <c r="N49" s="32">
        <v>1500</v>
      </c>
      <c r="O49" s="35">
        <v>6500</v>
      </c>
      <c r="P49" s="21">
        <v>0</v>
      </c>
      <c r="Q49" s="21">
        <v>0</v>
      </c>
      <c r="R49" s="23">
        <v>0</v>
      </c>
    </row>
    <row r="50" spans="1:18" ht="10.5" customHeight="1" x14ac:dyDescent="0.35">
      <c r="A50" s="24" t="s">
        <v>91</v>
      </c>
      <c r="B50" s="33" t="s">
        <v>202</v>
      </c>
      <c r="C50" s="26" t="s">
        <v>508</v>
      </c>
      <c r="D50" s="13" t="s">
        <v>245</v>
      </c>
      <c r="E50" s="20" t="s">
        <v>246</v>
      </c>
      <c r="F50" s="22">
        <v>2078</v>
      </c>
      <c r="G50" s="22">
        <v>0</v>
      </c>
      <c r="H50" s="27" t="s">
        <v>33</v>
      </c>
      <c r="I50" s="40" t="s">
        <v>42</v>
      </c>
      <c r="J50" s="28">
        <v>2012</v>
      </c>
      <c r="K50" s="29" t="s">
        <v>47</v>
      </c>
      <c r="L50" s="30" t="s">
        <v>247</v>
      </c>
      <c r="M50" s="31">
        <v>45000</v>
      </c>
      <c r="N50" s="32">
        <v>0</v>
      </c>
      <c r="O50" s="21">
        <v>15000</v>
      </c>
      <c r="P50" s="35">
        <v>30000</v>
      </c>
      <c r="Q50" s="21">
        <v>0</v>
      </c>
      <c r="R50" s="23">
        <v>0</v>
      </c>
    </row>
    <row r="51" spans="1:18" ht="10.5" customHeight="1" x14ac:dyDescent="0.35">
      <c r="A51" s="24" t="s">
        <v>48</v>
      </c>
      <c r="B51" s="33" t="s">
        <v>49</v>
      </c>
      <c r="C51" s="26" t="s">
        <v>2078</v>
      </c>
      <c r="D51" s="13" t="s">
        <v>249</v>
      </c>
      <c r="E51" s="20" t="s">
        <v>250</v>
      </c>
      <c r="F51" s="22">
        <v>500</v>
      </c>
      <c r="G51" s="22">
        <v>450</v>
      </c>
      <c r="H51" s="27" t="s">
        <v>52</v>
      </c>
      <c r="I51" s="40" t="s">
        <v>42</v>
      </c>
      <c r="J51" s="28">
        <v>2016</v>
      </c>
      <c r="K51" s="34" t="s">
        <v>34</v>
      </c>
      <c r="L51" s="30" t="s">
        <v>251</v>
      </c>
      <c r="M51" s="31">
        <v>40000</v>
      </c>
      <c r="N51" s="32">
        <v>8000</v>
      </c>
      <c r="O51" s="21">
        <v>24000</v>
      </c>
      <c r="P51" s="35">
        <v>0</v>
      </c>
      <c r="Q51" s="21">
        <v>8000</v>
      </c>
      <c r="R51" s="23">
        <v>0</v>
      </c>
    </row>
    <row r="52" spans="1:18" ht="10.5" customHeight="1" x14ac:dyDescent="0.35">
      <c r="A52" s="24" t="s">
        <v>85</v>
      </c>
      <c r="B52" s="33" t="s">
        <v>252</v>
      </c>
      <c r="C52" s="26" t="s">
        <v>253</v>
      </c>
      <c r="D52" s="13" t="s">
        <v>254</v>
      </c>
      <c r="E52" s="20" t="s">
        <v>255</v>
      </c>
      <c r="F52" s="22">
        <v>142</v>
      </c>
      <c r="G52" s="22">
        <v>0</v>
      </c>
      <c r="H52" s="27" t="s">
        <v>33</v>
      </c>
      <c r="I52" s="40" t="s">
        <v>42</v>
      </c>
      <c r="J52" s="28">
        <v>2014</v>
      </c>
      <c r="K52" s="34" t="s">
        <v>34</v>
      </c>
      <c r="L52" s="30" t="s">
        <v>256</v>
      </c>
      <c r="M52" s="31">
        <v>8716</v>
      </c>
      <c r="N52" s="32">
        <v>8716</v>
      </c>
      <c r="O52" s="21">
        <v>0</v>
      </c>
      <c r="P52" s="35">
        <v>0</v>
      </c>
      <c r="Q52" s="21">
        <v>0</v>
      </c>
      <c r="R52" s="23">
        <v>0</v>
      </c>
    </row>
    <row r="53" spans="1:18" ht="10.5" customHeight="1" x14ac:dyDescent="0.35">
      <c r="A53" s="24" t="s">
        <v>35</v>
      </c>
      <c r="B53" s="33" t="s">
        <v>263</v>
      </c>
      <c r="C53" s="26" t="s">
        <v>264</v>
      </c>
      <c r="D53" s="13" t="s">
        <v>264</v>
      </c>
      <c r="E53" s="20" t="s">
        <v>265</v>
      </c>
      <c r="F53" s="22">
        <v>244</v>
      </c>
      <c r="G53" s="22">
        <v>0</v>
      </c>
      <c r="H53" s="27" t="s">
        <v>33</v>
      </c>
      <c r="I53" s="40" t="s">
        <v>42</v>
      </c>
      <c r="J53" s="28">
        <v>2015</v>
      </c>
      <c r="K53" s="34" t="s">
        <v>47</v>
      </c>
      <c r="L53" s="37" t="s">
        <v>266</v>
      </c>
      <c r="M53" s="31">
        <v>20000</v>
      </c>
      <c r="N53" s="32">
        <v>0</v>
      </c>
      <c r="O53" s="35">
        <v>5000</v>
      </c>
      <c r="P53" s="21">
        <v>0</v>
      </c>
      <c r="Q53" s="21">
        <v>0</v>
      </c>
      <c r="R53" s="23">
        <v>15000</v>
      </c>
    </row>
    <row r="54" spans="1:18" ht="10.5" customHeight="1" x14ac:dyDescent="0.35">
      <c r="A54" s="24" t="s">
        <v>44</v>
      </c>
      <c r="B54" s="33" t="s">
        <v>54</v>
      </c>
      <c r="C54" s="26" t="s">
        <v>268</v>
      </c>
      <c r="D54" s="13" t="s">
        <v>269</v>
      </c>
      <c r="E54" s="20" t="s">
        <v>270</v>
      </c>
      <c r="F54" s="22">
        <v>242.5</v>
      </c>
      <c r="G54" s="22">
        <v>0</v>
      </c>
      <c r="H54" s="27" t="s">
        <v>33</v>
      </c>
      <c r="I54" s="40" t="s">
        <v>42</v>
      </c>
      <c r="J54" s="28">
        <v>2017</v>
      </c>
      <c r="K54" s="34" t="s">
        <v>34</v>
      </c>
      <c r="L54" s="30" t="s">
        <v>156</v>
      </c>
      <c r="M54" s="31">
        <v>12000</v>
      </c>
      <c r="N54" s="32">
        <v>8000</v>
      </c>
      <c r="O54" s="35">
        <v>4000</v>
      </c>
      <c r="P54" s="21">
        <v>0</v>
      </c>
      <c r="Q54" s="21">
        <v>0</v>
      </c>
      <c r="R54" s="23">
        <v>0</v>
      </c>
    </row>
    <row r="55" spans="1:18" ht="10.5" customHeight="1" x14ac:dyDescent="0.35">
      <c r="A55" s="24" t="s">
        <v>30</v>
      </c>
      <c r="B55" s="33" t="s">
        <v>31</v>
      </c>
      <c r="C55" s="26" t="s">
        <v>271</v>
      </c>
      <c r="D55" s="13" t="s">
        <v>2134</v>
      </c>
      <c r="E55" s="20" t="s">
        <v>272</v>
      </c>
      <c r="F55" s="22">
        <v>2360</v>
      </c>
      <c r="G55" s="22">
        <v>0</v>
      </c>
      <c r="H55" s="27" t="s">
        <v>33</v>
      </c>
      <c r="I55" s="40" t="s">
        <v>42</v>
      </c>
      <c r="J55" s="28">
        <v>2012</v>
      </c>
      <c r="K55" s="29" t="s">
        <v>47</v>
      </c>
      <c r="L55" s="30" t="s">
        <v>273</v>
      </c>
      <c r="M55" s="31">
        <v>30000</v>
      </c>
      <c r="N55" s="32">
        <v>0</v>
      </c>
      <c r="O55" s="35">
        <v>0</v>
      </c>
      <c r="P55" s="35">
        <v>30000</v>
      </c>
      <c r="Q55" s="35">
        <v>0</v>
      </c>
      <c r="R55" s="23">
        <v>0</v>
      </c>
    </row>
    <row r="56" spans="1:18" ht="10.5" customHeight="1" x14ac:dyDescent="0.35">
      <c r="A56" s="24" t="s">
        <v>35</v>
      </c>
      <c r="B56" s="33" t="s">
        <v>425</v>
      </c>
      <c r="C56" s="26" t="s">
        <v>1935</v>
      </c>
      <c r="D56" s="13" t="s">
        <v>1935</v>
      </c>
      <c r="E56" s="20" t="s">
        <v>1936</v>
      </c>
      <c r="F56" s="22">
        <v>360</v>
      </c>
      <c r="G56" s="22">
        <v>450</v>
      </c>
      <c r="H56" s="27" t="s">
        <v>52</v>
      </c>
      <c r="I56" s="40" t="s">
        <v>42</v>
      </c>
      <c r="J56" s="28">
        <v>2016</v>
      </c>
      <c r="K56" s="34" t="s">
        <v>34</v>
      </c>
      <c r="L56" s="30" t="s">
        <v>79</v>
      </c>
      <c r="M56" s="31">
        <v>38450</v>
      </c>
      <c r="N56" s="32">
        <v>0</v>
      </c>
      <c r="O56" s="35">
        <v>38450</v>
      </c>
      <c r="P56" s="21">
        <v>0</v>
      </c>
      <c r="Q56" s="21">
        <v>0</v>
      </c>
      <c r="R56" s="23">
        <v>0</v>
      </c>
    </row>
    <row r="57" spans="1:18" ht="10.5" customHeight="1" x14ac:dyDescent="0.35">
      <c r="A57" s="24" t="s">
        <v>63</v>
      </c>
      <c r="B57" s="33" t="s">
        <v>274</v>
      </c>
      <c r="C57" s="26" t="s">
        <v>275</v>
      </c>
      <c r="D57" s="13" t="s">
        <v>276</v>
      </c>
      <c r="E57" s="20" t="s">
        <v>277</v>
      </c>
      <c r="F57" s="22">
        <v>500</v>
      </c>
      <c r="G57" s="22">
        <v>550</v>
      </c>
      <c r="H57" s="27" t="s">
        <v>52</v>
      </c>
      <c r="I57" s="40" t="s">
        <v>42</v>
      </c>
      <c r="J57" s="28">
        <v>2013</v>
      </c>
      <c r="K57" s="29" t="s">
        <v>34</v>
      </c>
      <c r="L57" s="30" t="s">
        <v>278</v>
      </c>
      <c r="M57" s="31">
        <v>20500</v>
      </c>
      <c r="N57" s="32">
        <v>2500</v>
      </c>
      <c r="O57" s="35">
        <v>18000</v>
      </c>
      <c r="P57" s="21">
        <v>0</v>
      </c>
      <c r="Q57" s="21">
        <v>0</v>
      </c>
      <c r="R57" s="23">
        <v>0</v>
      </c>
    </row>
    <row r="58" spans="1:18" ht="10.5" customHeight="1" x14ac:dyDescent="0.35">
      <c r="A58" s="24" t="s">
        <v>63</v>
      </c>
      <c r="B58" s="33" t="s">
        <v>64</v>
      </c>
      <c r="C58" s="26" t="s">
        <v>508</v>
      </c>
      <c r="D58" s="13" t="s">
        <v>280</v>
      </c>
      <c r="E58" s="20" t="s">
        <v>281</v>
      </c>
      <c r="F58" s="22">
        <v>4700</v>
      </c>
      <c r="G58" s="22">
        <v>550</v>
      </c>
      <c r="H58" s="27" t="s">
        <v>52</v>
      </c>
      <c r="I58" s="40" t="s">
        <v>42</v>
      </c>
      <c r="J58" s="28">
        <v>2014</v>
      </c>
      <c r="K58" s="29" t="s">
        <v>47</v>
      </c>
      <c r="L58" s="30" t="s">
        <v>152</v>
      </c>
      <c r="M58" s="31">
        <v>34000</v>
      </c>
      <c r="N58" s="32">
        <v>0</v>
      </c>
      <c r="O58" s="35">
        <v>0</v>
      </c>
      <c r="P58" s="21">
        <v>34000</v>
      </c>
      <c r="Q58" s="21">
        <v>0</v>
      </c>
      <c r="R58" s="23">
        <v>0</v>
      </c>
    </row>
    <row r="59" spans="1:18" ht="10.5" customHeight="1" x14ac:dyDescent="0.35">
      <c r="A59" s="24" t="s">
        <v>94</v>
      </c>
      <c r="B59" s="33" t="s">
        <v>95</v>
      </c>
      <c r="C59" s="26" t="s">
        <v>282</v>
      </c>
      <c r="D59" s="13" t="s">
        <v>283</v>
      </c>
      <c r="E59" s="20" t="s">
        <v>284</v>
      </c>
      <c r="F59" s="22">
        <v>33</v>
      </c>
      <c r="G59" s="22">
        <v>0</v>
      </c>
      <c r="H59" s="27" t="s">
        <v>33</v>
      </c>
      <c r="I59" s="40" t="s">
        <v>42</v>
      </c>
      <c r="J59" s="28">
        <v>2016</v>
      </c>
      <c r="K59" s="29" t="s">
        <v>34</v>
      </c>
      <c r="L59" s="30" t="s">
        <v>58</v>
      </c>
      <c r="M59" s="31">
        <v>1000</v>
      </c>
      <c r="N59" s="32">
        <v>1000</v>
      </c>
      <c r="O59" s="35">
        <v>0</v>
      </c>
      <c r="P59" s="21">
        <v>0</v>
      </c>
      <c r="Q59" s="35">
        <v>0</v>
      </c>
      <c r="R59" s="23">
        <v>0</v>
      </c>
    </row>
    <row r="60" spans="1:18" ht="10.5" customHeight="1" x14ac:dyDescent="0.35">
      <c r="A60" s="24" t="s">
        <v>38</v>
      </c>
      <c r="B60" s="33" t="s">
        <v>285</v>
      </c>
      <c r="C60" s="26" t="s">
        <v>286</v>
      </c>
      <c r="D60" s="13" t="s">
        <v>287</v>
      </c>
      <c r="E60" s="20" t="s">
        <v>1265</v>
      </c>
      <c r="F60" s="22">
        <v>1000</v>
      </c>
      <c r="G60" s="22">
        <v>0</v>
      </c>
      <c r="H60" s="27" t="s">
        <v>33</v>
      </c>
      <c r="I60" s="40" t="s">
        <v>42</v>
      </c>
      <c r="J60" s="28" t="s">
        <v>93</v>
      </c>
      <c r="K60" s="29" t="s">
        <v>34</v>
      </c>
      <c r="L60" s="30" t="s">
        <v>267</v>
      </c>
      <c r="M60" s="31">
        <v>45000</v>
      </c>
      <c r="N60" s="32">
        <v>0</v>
      </c>
      <c r="O60" s="35">
        <v>45000</v>
      </c>
      <c r="P60" s="21">
        <v>0</v>
      </c>
      <c r="Q60" s="21">
        <v>0</v>
      </c>
      <c r="R60" s="23">
        <v>0</v>
      </c>
    </row>
    <row r="61" spans="1:18" ht="10.5" customHeight="1" x14ac:dyDescent="0.35">
      <c r="A61" s="24" t="s">
        <v>63</v>
      </c>
      <c r="B61" s="33" t="s">
        <v>134</v>
      </c>
      <c r="C61" s="26" t="s">
        <v>288</v>
      </c>
      <c r="D61" s="13" t="s">
        <v>289</v>
      </c>
      <c r="E61" s="20" t="s">
        <v>290</v>
      </c>
      <c r="F61" s="22">
        <v>150</v>
      </c>
      <c r="G61" s="22">
        <v>0</v>
      </c>
      <c r="H61" s="27" t="s">
        <v>33</v>
      </c>
      <c r="I61" s="40" t="s">
        <v>42</v>
      </c>
      <c r="J61" s="28">
        <v>2011</v>
      </c>
      <c r="K61" s="34" t="s">
        <v>47</v>
      </c>
      <c r="L61" s="30" t="s">
        <v>291</v>
      </c>
      <c r="M61" s="31">
        <v>27000</v>
      </c>
      <c r="N61" s="32">
        <v>0</v>
      </c>
      <c r="O61" s="35">
        <v>0</v>
      </c>
      <c r="P61" s="21">
        <v>0</v>
      </c>
      <c r="Q61" s="21">
        <v>0</v>
      </c>
      <c r="R61" s="23">
        <v>27000</v>
      </c>
    </row>
    <row r="62" spans="1:18" ht="10.5" customHeight="1" x14ac:dyDescent="0.35">
      <c r="A62" s="24" t="s">
        <v>91</v>
      </c>
      <c r="B62" s="33" t="s">
        <v>295</v>
      </c>
      <c r="C62" s="26" t="s">
        <v>296</v>
      </c>
      <c r="D62" s="13" t="s">
        <v>297</v>
      </c>
      <c r="E62" s="20" t="s">
        <v>298</v>
      </c>
      <c r="F62" s="22">
        <v>499</v>
      </c>
      <c r="G62" s="22">
        <v>650</v>
      </c>
      <c r="H62" s="27" t="s">
        <v>52</v>
      </c>
      <c r="I62" s="40" t="s">
        <v>42</v>
      </c>
      <c r="J62" s="28">
        <v>2020</v>
      </c>
      <c r="K62" s="29" t="s">
        <v>47</v>
      </c>
      <c r="L62" s="30" t="s">
        <v>152</v>
      </c>
      <c r="M62" s="31">
        <v>75000</v>
      </c>
      <c r="N62" s="32">
        <v>0</v>
      </c>
      <c r="O62" s="35">
        <v>0</v>
      </c>
      <c r="P62" s="21">
        <v>50000</v>
      </c>
      <c r="Q62" s="21">
        <v>0</v>
      </c>
      <c r="R62" s="23">
        <v>25000</v>
      </c>
    </row>
    <row r="63" spans="1:18" ht="10.5" customHeight="1" x14ac:dyDescent="0.35">
      <c r="A63" s="24" t="s">
        <v>44</v>
      </c>
      <c r="B63" s="33" t="s">
        <v>66</v>
      </c>
      <c r="C63" s="26" t="s">
        <v>300</v>
      </c>
      <c r="D63" s="13" t="s">
        <v>301</v>
      </c>
      <c r="E63" s="20" t="s">
        <v>302</v>
      </c>
      <c r="F63" s="22">
        <v>500</v>
      </c>
      <c r="G63" s="22">
        <v>0</v>
      </c>
      <c r="H63" s="27" t="s">
        <v>33</v>
      </c>
      <c r="I63" s="40" t="s">
        <v>42</v>
      </c>
      <c r="J63" s="28">
        <v>2012</v>
      </c>
      <c r="K63" s="34" t="s">
        <v>34</v>
      </c>
      <c r="L63" s="30" t="s">
        <v>303</v>
      </c>
      <c r="M63" s="43">
        <v>20000</v>
      </c>
      <c r="N63" s="32">
        <v>6000</v>
      </c>
      <c r="O63" s="35">
        <v>14000</v>
      </c>
      <c r="P63" s="21">
        <v>0</v>
      </c>
      <c r="Q63" s="21">
        <v>0</v>
      </c>
      <c r="R63" s="23">
        <v>0</v>
      </c>
    </row>
    <row r="64" spans="1:18" ht="10.5" customHeight="1" x14ac:dyDescent="0.35">
      <c r="A64" s="24" t="s">
        <v>44</v>
      </c>
      <c r="B64" s="33" t="s">
        <v>66</v>
      </c>
      <c r="C64" s="26" t="s">
        <v>305</v>
      </c>
      <c r="D64" s="13" t="s">
        <v>306</v>
      </c>
      <c r="E64" s="20" t="s">
        <v>307</v>
      </c>
      <c r="F64" s="22">
        <v>500</v>
      </c>
      <c r="G64" s="22">
        <v>0</v>
      </c>
      <c r="H64" s="27" t="s">
        <v>33</v>
      </c>
      <c r="I64" s="40" t="s">
        <v>42</v>
      </c>
      <c r="J64" s="28">
        <v>2017</v>
      </c>
      <c r="K64" s="29" t="s">
        <v>34</v>
      </c>
      <c r="L64" s="30" t="s">
        <v>61</v>
      </c>
      <c r="M64" s="31">
        <v>21900</v>
      </c>
      <c r="N64" s="32">
        <v>7300</v>
      </c>
      <c r="O64" s="35">
        <v>14600</v>
      </c>
      <c r="P64" s="21">
        <v>0</v>
      </c>
      <c r="Q64" s="21">
        <v>0</v>
      </c>
      <c r="R64" s="23">
        <v>0</v>
      </c>
    </row>
    <row r="65" spans="1:18" ht="10.5" customHeight="1" x14ac:dyDescent="0.35">
      <c r="A65" s="24" t="s">
        <v>35</v>
      </c>
      <c r="B65" s="33" t="s">
        <v>260</v>
      </c>
      <c r="C65" s="26" t="s">
        <v>308</v>
      </c>
      <c r="D65" s="13" t="s">
        <v>309</v>
      </c>
      <c r="E65" s="20" t="s">
        <v>310</v>
      </c>
      <c r="F65" s="22">
        <v>225</v>
      </c>
      <c r="G65" s="22">
        <v>0</v>
      </c>
      <c r="H65" s="27" t="s">
        <v>33</v>
      </c>
      <c r="I65" s="40" t="s">
        <v>42</v>
      </c>
      <c r="J65" s="28">
        <v>2014</v>
      </c>
      <c r="K65" s="29" t="s">
        <v>34</v>
      </c>
      <c r="L65" s="30" t="s">
        <v>311</v>
      </c>
      <c r="M65" s="31">
        <v>5182</v>
      </c>
      <c r="N65" s="32">
        <v>0</v>
      </c>
      <c r="O65" s="35">
        <v>5182</v>
      </c>
      <c r="P65" s="21">
        <v>0</v>
      </c>
      <c r="Q65" s="21">
        <v>0</v>
      </c>
      <c r="R65" s="23">
        <v>0</v>
      </c>
    </row>
    <row r="66" spans="1:18" ht="10.5" customHeight="1" x14ac:dyDescent="0.35">
      <c r="A66" s="24" t="s">
        <v>94</v>
      </c>
      <c r="B66" s="33" t="s">
        <v>123</v>
      </c>
      <c r="C66" s="26" t="s">
        <v>312</v>
      </c>
      <c r="D66" s="13" t="s">
        <v>313</v>
      </c>
      <c r="E66" s="20" t="s">
        <v>314</v>
      </c>
      <c r="F66" s="22">
        <v>52</v>
      </c>
      <c r="G66" s="22">
        <v>0</v>
      </c>
      <c r="H66" s="27" t="s">
        <v>33</v>
      </c>
      <c r="I66" s="40" t="s">
        <v>42</v>
      </c>
      <c r="J66" s="28">
        <v>2017</v>
      </c>
      <c r="K66" s="29" t="s">
        <v>34</v>
      </c>
      <c r="L66" s="30" t="s">
        <v>315</v>
      </c>
      <c r="M66" s="31">
        <v>8000</v>
      </c>
      <c r="N66" s="32">
        <v>8000</v>
      </c>
      <c r="O66" s="35">
        <v>0</v>
      </c>
      <c r="P66" s="21">
        <v>0</v>
      </c>
      <c r="Q66" s="21">
        <v>0</v>
      </c>
      <c r="R66" s="23">
        <v>0</v>
      </c>
    </row>
    <row r="67" spans="1:18" ht="10.5" customHeight="1" x14ac:dyDescent="0.35">
      <c r="A67" s="24" t="s">
        <v>85</v>
      </c>
      <c r="B67" s="33" t="s">
        <v>209</v>
      </c>
      <c r="C67" s="26" t="s">
        <v>316</v>
      </c>
      <c r="D67" s="41" t="s">
        <v>317</v>
      </c>
      <c r="E67" s="20" t="s">
        <v>318</v>
      </c>
      <c r="F67" s="22">
        <v>484</v>
      </c>
      <c r="G67" s="22">
        <v>0</v>
      </c>
      <c r="H67" s="27" t="s">
        <v>33</v>
      </c>
      <c r="I67" s="40" t="s">
        <v>42</v>
      </c>
      <c r="J67" s="28">
        <v>2015</v>
      </c>
      <c r="K67" s="29" t="s">
        <v>47</v>
      </c>
      <c r="L67" s="30" t="s">
        <v>90</v>
      </c>
      <c r="M67" s="31">
        <v>18000</v>
      </c>
      <c r="N67" s="32">
        <v>0</v>
      </c>
      <c r="O67" s="21">
        <v>0</v>
      </c>
      <c r="P67" s="21">
        <v>10800</v>
      </c>
      <c r="Q67" s="35">
        <v>0</v>
      </c>
      <c r="R67" s="23">
        <v>7200</v>
      </c>
    </row>
    <row r="68" spans="1:18" ht="10.5" customHeight="1" x14ac:dyDescent="0.35">
      <c r="A68" s="24" t="s">
        <v>44</v>
      </c>
      <c r="B68" s="25" t="s">
        <v>54</v>
      </c>
      <c r="C68" s="26" t="s">
        <v>319</v>
      </c>
      <c r="D68" s="13" t="s">
        <v>320</v>
      </c>
      <c r="E68" s="20" t="s">
        <v>321</v>
      </c>
      <c r="F68" s="22">
        <v>479</v>
      </c>
      <c r="G68" s="22">
        <v>0</v>
      </c>
      <c r="H68" s="27" t="s">
        <v>33</v>
      </c>
      <c r="I68" s="40" t="s">
        <v>42</v>
      </c>
      <c r="J68" s="28">
        <v>2017</v>
      </c>
      <c r="K68" s="34" t="s">
        <v>47</v>
      </c>
      <c r="L68" s="30" t="s">
        <v>322</v>
      </c>
      <c r="M68" s="31">
        <v>17500</v>
      </c>
      <c r="N68" s="32">
        <v>0</v>
      </c>
      <c r="O68" s="21">
        <v>0</v>
      </c>
      <c r="P68" s="35">
        <v>17500</v>
      </c>
      <c r="Q68" s="21">
        <v>0</v>
      </c>
      <c r="R68" s="23">
        <v>0</v>
      </c>
    </row>
    <row r="69" spans="1:18" x14ac:dyDescent="0.35">
      <c r="A69" s="24" t="s">
        <v>44</v>
      </c>
      <c r="B69" s="33" t="s">
        <v>66</v>
      </c>
      <c r="C69" s="26" t="s">
        <v>319</v>
      </c>
      <c r="D69" s="13" t="s">
        <v>323</v>
      </c>
      <c r="E69" s="20" t="s">
        <v>69</v>
      </c>
      <c r="F69" s="22" t="s">
        <v>93</v>
      </c>
      <c r="G69" s="22">
        <v>0</v>
      </c>
      <c r="H69" s="27" t="s">
        <v>2176</v>
      </c>
      <c r="I69" s="40" t="s">
        <v>42</v>
      </c>
      <c r="J69" s="28">
        <v>2018</v>
      </c>
      <c r="K69" s="34" t="s">
        <v>34</v>
      </c>
      <c r="L69" s="30" t="s">
        <v>324</v>
      </c>
      <c r="M69" s="31">
        <v>0</v>
      </c>
      <c r="N69" s="32">
        <v>0</v>
      </c>
      <c r="O69" s="35">
        <v>0</v>
      </c>
      <c r="P69" s="35">
        <v>0</v>
      </c>
      <c r="Q69" s="21">
        <v>0</v>
      </c>
      <c r="R69" s="23">
        <v>0</v>
      </c>
    </row>
    <row r="70" spans="1:18" ht="10.5" customHeight="1" x14ac:dyDescent="0.35">
      <c r="A70" s="24" t="s">
        <v>44</v>
      </c>
      <c r="B70" s="33" t="s">
        <v>66</v>
      </c>
      <c r="C70" s="26" t="s">
        <v>319</v>
      </c>
      <c r="D70" s="13" t="s">
        <v>325</v>
      </c>
      <c r="E70" s="20" t="s">
        <v>326</v>
      </c>
      <c r="F70" s="22" t="s">
        <v>93</v>
      </c>
      <c r="G70" s="22">
        <v>0</v>
      </c>
      <c r="H70" s="27" t="s">
        <v>2176</v>
      </c>
      <c r="I70" s="40" t="s">
        <v>42</v>
      </c>
      <c r="J70" s="28">
        <v>2017</v>
      </c>
      <c r="K70" s="29" t="s">
        <v>34</v>
      </c>
      <c r="L70" s="30" t="s">
        <v>324</v>
      </c>
      <c r="M70" s="31">
        <v>0</v>
      </c>
      <c r="N70" s="32">
        <v>0</v>
      </c>
      <c r="O70" s="35">
        <v>0</v>
      </c>
      <c r="P70" s="35">
        <v>0</v>
      </c>
      <c r="Q70" s="21">
        <v>0</v>
      </c>
      <c r="R70" s="23">
        <v>0</v>
      </c>
    </row>
    <row r="71" spans="1:18" x14ac:dyDescent="0.35">
      <c r="A71" s="24" t="s">
        <v>44</v>
      </c>
      <c r="B71" s="33" t="s">
        <v>66</v>
      </c>
      <c r="C71" s="26" t="s">
        <v>327</v>
      </c>
      <c r="D71" s="13" t="s">
        <v>328</v>
      </c>
      <c r="E71" s="20" t="s">
        <v>329</v>
      </c>
      <c r="F71" s="22" t="s">
        <v>93</v>
      </c>
      <c r="G71" s="22">
        <v>0</v>
      </c>
      <c r="H71" s="27" t="s">
        <v>2176</v>
      </c>
      <c r="I71" s="40" t="s">
        <v>42</v>
      </c>
      <c r="J71" s="28">
        <v>2017</v>
      </c>
      <c r="K71" s="34" t="s">
        <v>47</v>
      </c>
      <c r="L71" s="30" t="s">
        <v>324</v>
      </c>
      <c r="M71" s="31">
        <v>0</v>
      </c>
      <c r="N71" s="32">
        <v>0</v>
      </c>
      <c r="O71" s="21">
        <v>0</v>
      </c>
      <c r="P71" s="21">
        <v>0</v>
      </c>
      <c r="Q71" s="35">
        <v>0</v>
      </c>
      <c r="R71" s="23">
        <v>0</v>
      </c>
    </row>
    <row r="72" spans="1:18" ht="10.5" customHeight="1" x14ac:dyDescent="0.35">
      <c r="A72" s="24" t="s">
        <v>63</v>
      </c>
      <c r="B72" s="33" t="s">
        <v>274</v>
      </c>
      <c r="C72" s="26" t="s">
        <v>334</v>
      </c>
      <c r="D72" s="13" t="s">
        <v>335</v>
      </c>
      <c r="E72" s="20" t="s">
        <v>336</v>
      </c>
      <c r="F72" s="22">
        <v>1030</v>
      </c>
      <c r="G72" s="22">
        <v>0</v>
      </c>
      <c r="H72" s="27" t="s">
        <v>33</v>
      </c>
      <c r="I72" s="40" t="s">
        <v>42</v>
      </c>
      <c r="J72" s="28">
        <v>2012</v>
      </c>
      <c r="K72" s="29" t="s">
        <v>47</v>
      </c>
      <c r="L72" s="30" t="s">
        <v>337</v>
      </c>
      <c r="M72" s="31">
        <v>20000</v>
      </c>
      <c r="N72" s="32">
        <v>0</v>
      </c>
      <c r="O72" s="21">
        <v>0</v>
      </c>
      <c r="P72" s="21">
        <v>12000</v>
      </c>
      <c r="Q72" s="21">
        <v>0</v>
      </c>
      <c r="R72" s="23">
        <v>8000</v>
      </c>
    </row>
    <row r="73" spans="1:18" ht="10.5" customHeight="1" x14ac:dyDescent="0.35">
      <c r="A73" s="24" t="s">
        <v>35</v>
      </c>
      <c r="B73" s="33" t="s">
        <v>36</v>
      </c>
      <c r="C73" s="26" t="s">
        <v>340</v>
      </c>
      <c r="D73" s="13" t="s">
        <v>341</v>
      </c>
      <c r="E73" s="20" t="s">
        <v>342</v>
      </c>
      <c r="F73" s="22">
        <v>475</v>
      </c>
      <c r="G73" s="22">
        <v>0</v>
      </c>
      <c r="H73" s="27" t="s">
        <v>33</v>
      </c>
      <c r="I73" s="40" t="s">
        <v>42</v>
      </c>
      <c r="J73" s="28">
        <v>2015</v>
      </c>
      <c r="K73" s="29" t="s">
        <v>34</v>
      </c>
      <c r="L73" s="30" t="s">
        <v>343</v>
      </c>
      <c r="M73" s="31">
        <v>10000</v>
      </c>
      <c r="N73" s="32">
        <v>0</v>
      </c>
      <c r="O73" s="35">
        <v>10000</v>
      </c>
      <c r="P73" s="21">
        <v>0</v>
      </c>
      <c r="Q73" s="21">
        <v>0</v>
      </c>
      <c r="R73" s="23">
        <v>0</v>
      </c>
    </row>
    <row r="74" spans="1:18" ht="10.5" customHeight="1" x14ac:dyDescent="0.35">
      <c r="A74" s="24" t="s">
        <v>35</v>
      </c>
      <c r="B74" s="33" t="s">
        <v>36</v>
      </c>
      <c r="C74" s="26" t="s">
        <v>344</v>
      </c>
      <c r="D74" s="13" t="s">
        <v>345</v>
      </c>
      <c r="E74" s="20" t="s">
        <v>346</v>
      </c>
      <c r="F74" s="22">
        <v>236</v>
      </c>
      <c r="G74" s="22">
        <v>0</v>
      </c>
      <c r="H74" s="27" t="s">
        <v>33</v>
      </c>
      <c r="I74" s="40" t="s">
        <v>42</v>
      </c>
      <c r="J74" s="28">
        <v>2014</v>
      </c>
      <c r="K74" s="34" t="s">
        <v>34</v>
      </c>
      <c r="L74" s="30" t="s">
        <v>347</v>
      </c>
      <c r="M74" s="31">
        <v>10000</v>
      </c>
      <c r="N74" s="32">
        <v>8000</v>
      </c>
      <c r="O74" s="35">
        <v>2000</v>
      </c>
      <c r="P74" s="21">
        <v>0</v>
      </c>
      <c r="Q74" s="35">
        <v>0</v>
      </c>
      <c r="R74" s="23">
        <v>0</v>
      </c>
    </row>
    <row r="75" spans="1:18" ht="10.5" customHeight="1" x14ac:dyDescent="0.35">
      <c r="A75" s="24" t="s">
        <v>63</v>
      </c>
      <c r="B75" s="33" t="s">
        <v>134</v>
      </c>
      <c r="C75" s="26" t="s">
        <v>348</v>
      </c>
      <c r="D75" s="13" t="s">
        <v>349</v>
      </c>
      <c r="E75" s="20" t="s">
        <v>350</v>
      </c>
      <c r="F75" s="22">
        <v>1600</v>
      </c>
      <c r="G75" s="22">
        <v>0</v>
      </c>
      <c r="H75" s="27" t="s">
        <v>33</v>
      </c>
      <c r="I75" s="40" t="s">
        <v>42</v>
      </c>
      <c r="J75" s="28">
        <v>2012</v>
      </c>
      <c r="K75" s="29" t="s">
        <v>47</v>
      </c>
      <c r="L75" s="30" t="s">
        <v>351</v>
      </c>
      <c r="M75" s="31">
        <v>43000</v>
      </c>
      <c r="N75" s="32">
        <v>6000</v>
      </c>
      <c r="O75" s="35">
        <v>0</v>
      </c>
      <c r="P75" s="21">
        <v>37000</v>
      </c>
      <c r="Q75" s="21">
        <v>0</v>
      </c>
      <c r="R75" s="23">
        <v>0</v>
      </c>
    </row>
    <row r="76" spans="1:18" ht="10.5" customHeight="1" x14ac:dyDescent="0.35">
      <c r="A76" s="24" t="s">
        <v>38</v>
      </c>
      <c r="B76" s="33" t="s">
        <v>171</v>
      </c>
      <c r="C76" s="26" t="s">
        <v>352</v>
      </c>
      <c r="D76" s="13" t="s">
        <v>353</v>
      </c>
      <c r="E76" s="13" t="s">
        <v>354</v>
      </c>
      <c r="F76" s="22">
        <v>495</v>
      </c>
      <c r="G76" s="22">
        <v>0</v>
      </c>
      <c r="H76" s="27" t="s">
        <v>33</v>
      </c>
      <c r="I76" s="40" t="s">
        <v>42</v>
      </c>
      <c r="J76" s="28">
        <v>2014</v>
      </c>
      <c r="K76" s="29" t="s">
        <v>34</v>
      </c>
      <c r="L76" s="30" t="s">
        <v>355</v>
      </c>
      <c r="M76" s="31">
        <v>13725</v>
      </c>
      <c r="N76" s="32">
        <v>5125</v>
      </c>
      <c r="O76" s="35">
        <v>8600</v>
      </c>
      <c r="P76" s="21">
        <v>0</v>
      </c>
      <c r="Q76" s="21">
        <v>0</v>
      </c>
      <c r="R76" s="23">
        <v>0</v>
      </c>
    </row>
    <row r="77" spans="1:18" ht="10.5" customHeight="1" x14ac:dyDescent="0.35">
      <c r="A77" s="24" t="s">
        <v>44</v>
      </c>
      <c r="B77" s="33" t="s">
        <v>54</v>
      </c>
      <c r="C77" s="42" t="s">
        <v>356</v>
      </c>
      <c r="D77" s="13" t="s">
        <v>357</v>
      </c>
      <c r="E77" s="20" t="s">
        <v>358</v>
      </c>
      <c r="F77" s="22">
        <v>500</v>
      </c>
      <c r="G77" s="22">
        <v>0</v>
      </c>
      <c r="H77" s="27" t="s">
        <v>33</v>
      </c>
      <c r="I77" s="40" t="s">
        <v>42</v>
      </c>
      <c r="J77" s="28" t="s">
        <v>93</v>
      </c>
      <c r="K77" s="34" t="s">
        <v>34</v>
      </c>
      <c r="L77" s="30" t="s">
        <v>61</v>
      </c>
      <c r="M77" s="31">
        <v>15000</v>
      </c>
      <c r="N77" s="32">
        <v>4000</v>
      </c>
      <c r="O77" s="35">
        <v>11000</v>
      </c>
      <c r="P77" s="21">
        <v>0</v>
      </c>
      <c r="Q77" s="21">
        <v>0</v>
      </c>
      <c r="R77" s="23">
        <v>0</v>
      </c>
    </row>
    <row r="78" spans="1:18" x14ac:dyDescent="0.35">
      <c r="A78" s="24" t="s">
        <v>30</v>
      </c>
      <c r="B78" s="33" t="s">
        <v>31</v>
      </c>
      <c r="C78" s="26" t="s">
        <v>2091</v>
      </c>
      <c r="D78" s="13" t="s">
        <v>360</v>
      </c>
      <c r="E78" s="20" t="s">
        <v>361</v>
      </c>
      <c r="F78" s="22">
        <v>250</v>
      </c>
      <c r="G78" s="22">
        <v>550</v>
      </c>
      <c r="H78" s="27" t="s">
        <v>52</v>
      </c>
      <c r="I78" s="40" t="s">
        <v>42</v>
      </c>
      <c r="J78" s="28">
        <v>2016</v>
      </c>
      <c r="K78" s="34" t="s">
        <v>34</v>
      </c>
      <c r="L78" s="38" t="s">
        <v>362</v>
      </c>
      <c r="M78" s="31">
        <v>35000</v>
      </c>
      <c r="N78" s="32">
        <v>0</v>
      </c>
      <c r="O78" s="21">
        <v>34000</v>
      </c>
      <c r="P78" s="35">
        <v>0</v>
      </c>
      <c r="Q78" s="21">
        <v>1000</v>
      </c>
      <c r="R78" s="23">
        <v>0</v>
      </c>
    </row>
    <row r="79" spans="1:18" ht="10.5" customHeight="1" x14ac:dyDescent="0.35">
      <c r="A79" s="24" t="s">
        <v>38</v>
      </c>
      <c r="B79" s="33" t="s">
        <v>148</v>
      </c>
      <c r="C79" s="26" t="s">
        <v>363</v>
      </c>
      <c r="D79" s="41" t="s">
        <v>364</v>
      </c>
      <c r="E79" s="13" t="s">
        <v>365</v>
      </c>
      <c r="F79" s="35">
        <v>495</v>
      </c>
      <c r="G79" s="22">
        <v>0</v>
      </c>
      <c r="H79" s="27" t="s">
        <v>33</v>
      </c>
      <c r="I79" s="40" t="s">
        <v>42</v>
      </c>
      <c r="J79" s="28">
        <v>2014</v>
      </c>
      <c r="K79" s="29" t="s">
        <v>34</v>
      </c>
      <c r="L79" s="30" t="s">
        <v>366</v>
      </c>
      <c r="M79" s="31">
        <v>11000</v>
      </c>
      <c r="N79" s="32">
        <v>1000</v>
      </c>
      <c r="O79" s="21">
        <v>10000</v>
      </c>
      <c r="P79" s="35">
        <v>0</v>
      </c>
      <c r="Q79" s="21">
        <v>0</v>
      </c>
      <c r="R79" s="23">
        <v>0</v>
      </c>
    </row>
    <row r="80" spans="1:18" ht="10.5" customHeight="1" x14ac:dyDescent="0.35">
      <c r="A80" s="24" t="s">
        <v>35</v>
      </c>
      <c r="B80" s="33" t="s">
        <v>36</v>
      </c>
      <c r="C80" s="26" t="s">
        <v>367</v>
      </c>
      <c r="D80" s="13" t="s">
        <v>368</v>
      </c>
      <c r="E80" s="20" t="s">
        <v>369</v>
      </c>
      <c r="F80" s="22">
        <v>380</v>
      </c>
      <c r="G80" s="22">
        <v>0</v>
      </c>
      <c r="H80" s="27" t="s">
        <v>33</v>
      </c>
      <c r="I80" s="40" t="s">
        <v>42</v>
      </c>
      <c r="J80" s="28">
        <v>2010</v>
      </c>
      <c r="K80" s="34" t="s">
        <v>34</v>
      </c>
      <c r="L80" s="30" t="s">
        <v>370</v>
      </c>
      <c r="M80" s="43">
        <v>10000</v>
      </c>
      <c r="N80" s="32">
        <v>0</v>
      </c>
      <c r="O80" s="21">
        <v>0</v>
      </c>
      <c r="P80" s="35">
        <v>0</v>
      </c>
      <c r="Q80" s="21">
        <v>10000</v>
      </c>
      <c r="R80" s="23">
        <v>0</v>
      </c>
    </row>
    <row r="81" spans="1:18" ht="10.5" customHeight="1" x14ac:dyDescent="0.35">
      <c r="A81" s="24" t="s">
        <v>373</v>
      </c>
      <c r="B81" s="33" t="s">
        <v>374</v>
      </c>
      <c r="C81" s="42" t="s">
        <v>375</v>
      </c>
      <c r="D81" s="13" t="s">
        <v>376</v>
      </c>
      <c r="E81" s="20" t="s">
        <v>377</v>
      </c>
      <c r="F81" s="22">
        <v>487</v>
      </c>
      <c r="G81" s="22">
        <v>0</v>
      </c>
      <c r="H81" s="27" t="s">
        <v>33</v>
      </c>
      <c r="I81" s="40" t="s">
        <v>42</v>
      </c>
      <c r="J81" s="28">
        <v>2014</v>
      </c>
      <c r="K81" s="29" t="s">
        <v>34</v>
      </c>
      <c r="L81" s="30" t="s">
        <v>378</v>
      </c>
      <c r="M81" s="31">
        <v>27000</v>
      </c>
      <c r="N81" s="32">
        <v>0</v>
      </c>
      <c r="O81" s="35">
        <v>27000</v>
      </c>
      <c r="P81" s="21">
        <v>0</v>
      </c>
      <c r="Q81" s="21">
        <v>0</v>
      </c>
      <c r="R81" s="23">
        <v>0</v>
      </c>
    </row>
    <row r="82" spans="1:18" x14ac:dyDescent="0.35">
      <c r="A82" s="24" t="s">
        <v>35</v>
      </c>
      <c r="B82" s="33" t="s">
        <v>330</v>
      </c>
      <c r="C82" s="26" t="s">
        <v>2057</v>
      </c>
      <c r="D82" s="13" t="s">
        <v>381</v>
      </c>
      <c r="E82" s="20" t="s">
        <v>332</v>
      </c>
      <c r="F82" s="22">
        <v>1500</v>
      </c>
      <c r="G82" s="22">
        <v>500</v>
      </c>
      <c r="H82" s="27" t="s">
        <v>52</v>
      </c>
      <c r="I82" s="40" t="s">
        <v>42</v>
      </c>
      <c r="J82" s="28">
        <v>2019</v>
      </c>
      <c r="K82" s="34" t="s">
        <v>47</v>
      </c>
      <c r="L82" s="30" t="s">
        <v>152</v>
      </c>
      <c r="M82" s="31">
        <v>75000</v>
      </c>
      <c r="N82" s="32">
        <v>0</v>
      </c>
      <c r="O82" s="21">
        <v>0</v>
      </c>
      <c r="P82" s="35">
        <v>75000</v>
      </c>
      <c r="Q82" s="21">
        <v>0</v>
      </c>
      <c r="R82" s="23">
        <v>0</v>
      </c>
    </row>
    <row r="83" spans="1:18" x14ac:dyDescent="0.35">
      <c r="A83" s="24" t="s">
        <v>91</v>
      </c>
      <c r="B83" s="33" t="s">
        <v>383</v>
      </c>
      <c r="C83" s="26" t="s">
        <v>2058</v>
      </c>
      <c r="D83" s="13" t="s">
        <v>384</v>
      </c>
      <c r="E83" s="20" t="s">
        <v>385</v>
      </c>
      <c r="F83" s="22">
        <v>2200</v>
      </c>
      <c r="G83" s="22">
        <v>550</v>
      </c>
      <c r="H83" s="27" t="s">
        <v>52</v>
      </c>
      <c r="I83" s="40" t="s">
        <v>42</v>
      </c>
      <c r="J83" s="28">
        <v>2016</v>
      </c>
      <c r="K83" s="34" t="s">
        <v>34</v>
      </c>
      <c r="L83" s="30" t="s">
        <v>386</v>
      </c>
      <c r="M83" s="31">
        <v>38000</v>
      </c>
      <c r="N83" s="32">
        <v>29000</v>
      </c>
      <c r="O83" s="35">
        <v>9000</v>
      </c>
      <c r="P83" s="21">
        <v>0</v>
      </c>
      <c r="Q83" s="21">
        <v>0</v>
      </c>
      <c r="R83" s="23">
        <v>0</v>
      </c>
    </row>
    <row r="84" spans="1:18" x14ac:dyDescent="0.35">
      <c r="A84" s="24" t="s">
        <v>94</v>
      </c>
      <c r="B84" s="33" t="s">
        <v>123</v>
      </c>
      <c r="C84" s="26" t="s">
        <v>387</v>
      </c>
      <c r="D84" s="13" t="s">
        <v>387</v>
      </c>
      <c r="E84" s="20" t="s">
        <v>388</v>
      </c>
      <c r="F84" s="22">
        <v>124</v>
      </c>
      <c r="G84" s="22">
        <v>0</v>
      </c>
      <c r="H84" s="27" t="s">
        <v>33</v>
      </c>
      <c r="I84" s="40" t="s">
        <v>42</v>
      </c>
      <c r="J84" s="28">
        <v>2014</v>
      </c>
      <c r="K84" s="34" t="s">
        <v>34</v>
      </c>
      <c r="L84" s="30" t="s">
        <v>58</v>
      </c>
      <c r="M84" s="31">
        <v>5000</v>
      </c>
      <c r="N84" s="32">
        <v>5000</v>
      </c>
      <c r="O84" s="21">
        <v>0</v>
      </c>
      <c r="P84" s="35">
        <v>0</v>
      </c>
      <c r="Q84" s="35">
        <v>0</v>
      </c>
      <c r="R84" s="23">
        <v>0</v>
      </c>
    </row>
    <row r="85" spans="1:18" ht="10.5" customHeight="1" x14ac:dyDescent="0.35">
      <c r="A85" s="24" t="s">
        <v>30</v>
      </c>
      <c r="B85" s="33" t="s">
        <v>80</v>
      </c>
      <c r="C85" s="26" t="s">
        <v>389</v>
      </c>
      <c r="D85" s="13" t="s">
        <v>390</v>
      </c>
      <c r="E85" s="20" t="s">
        <v>391</v>
      </c>
      <c r="F85" s="22">
        <v>465</v>
      </c>
      <c r="G85" s="22">
        <v>0</v>
      </c>
      <c r="H85" s="27" t="s">
        <v>33</v>
      </c>
      <c r="I85" s="40" t="s">
        <v>42</v>
      </c>
      <c r="J85" s="28">
        <v>2014</v>
      </c>
      <c r="K85" s="29" t="s">
        <v>34</v>
      </c>
      <c r="L85" s="30" t="s">
        <v>392</v>
      </c>
      <c r="M85" s="31">
        <v>28000</v>
      </c>
      <c r="N85" s="32">
        <v>28000</v>
      </c>
      <c r="O85" s="21">
        <v>0</v>
      </c>
      <c r="P85" s="35">
        <v>0</v>
      </c>
      <c r="Q85" s="21">
        <v>0</v>
      </c>
      <c r="R85" s="23">
        <v>0</v>
      </c>
    </row>
    <row r="86" spans="1:18" ht="10.5" customHeight="1" x14ac:dyDescent="0.35">
      <c r="A86" s="24" t="s">
        <v>85</v>
      </c>
      <c r="B86" s="33" t="s">
        <v>252</v>
      </c>
      <c r="C86" s="26" t="s">
        <v>333</v>
      </c>
      <c r="D86" s="41" t="s">
        <v>394</v>
      </c>
      <c r="E86" s="20" t="s">
        <v>395</v>
      </c>
      <c r="F86" s="22">
        <v>11800</v>
      </c>
      <c r="G86" s="22">
        <v>500</v>
      </c>
      <c r="H86" s="27" t="s">
        <v>33</v>
      </c>
      <c r="I86" s="40" t="s">
        <v>42</v>
      </c>
      <c r="J86" s="28">
        <v>2017</v>
      </c>
      <c r="K86" s="29" t="s">
        <v>47</v>
      </c>
      <c r="L86" s="30" t="s">
        <v>152</v>
      </c>
      <c r="M86" s="31">
        <v>52000</v>
      </c>
      <c r="N86" s="32">
        <v>0</v>
      </c>
      <c r="O86" s="21">
        <v>0</v>
      </c>
      <c r="P86" s="35">
        <v>52000</v>
      </c>
      <c r="Q86" s="21">
        <v>0</v>
      </c>
      <c r="R86" s="23">
        <v>0</v>
      </c>
    </row>
    <row r="87" spans="1:18" ht="10.5" customHeight="1" x14ac:dyDescent="0.35">
      <c r="A87" s="24" t="s">
        <v>63</v>
      </c>
      <c r="B87" s="33" t="s">
        <v>274</v>
      </c>
      <c r="C87" s="26" t="s">
        <v>396</v>
      </c>
      <c r="D87" s="13" t="s">
        <v>397</v>
      </c>
      <c r="E87" s="20" t="s">
        <v>398</v>
      </c>
      <c r="F87" s="22">
        <v>500</v>
      </c>
      <c r="G87" s="22">
        <v>550</v>
      </c>
      <c r="H87" s="27" t="s">
        <v>52</v>
      </c>
      <c r="I87" s="40" t="s">
        <v>42</v>
      </c>
      <c r="J87" s="28">
        <v>2016</v>
      </c>
      <c r="K87" s="29" t="s">
        <v>34</v>
      </c>
      <c r="L87" s="30" t="s">
        <v>399</v>
      </c>
      <c r="M87" s="31">
        <v>20000</v>
      </c>
      <c r="N87" s="32">
        <v>6000</v>
      </c>
      <c r="O87" s="21">
        <v>14000</v>
      </c>
      <c r="P87" s="35">
        <v>0</v>
      </c>
      <c r="Q87" s="21">
        <v>0</v>
      </c>
      <c r="R87" s="23">
        <v>0</v>
      </c>
    </row>
    <row r="88" spans="1:18" ht="10.5" customHeight="1" x14ac:dyDescent="0.35">
      <c r="A88" s="45" t="s">
        <v>38</v>
      </c>
      <c r="B88" s="25" t="s">
        <v>212</v>
      </c>
      <c r="C88" s="36" t="s">
        <v>400</v>
      </c>
      <c r="D88" s="13" t="s">
        <v>401</v>
      </c>
      <c r="E88" s="20" t="s">
        <v>402</v>
      </c>
      <c r="F88" s="22">
        <v>1300</v>
      </c>
      <c r="G88" s="22">
        <v>0</v>
      </c>
      <c r="H88" s="27" t="s">
        <v>33</v>
      </c>
      <c r="I88" s="40" t="s">
        <v>42</v>
      </c>
      <c r="J88" s="28">
        <v>2010</v>
      </c>
      <c r="K88" s="29" t="s">
        <v>47</v>
      </c>
      <c r="L88" s="30" t="s">
        <v>403</v>
      </c>
      <c r="M88" s="31">
        <v>30000</v>
      </c>
      <c r="N88" s="32">
        <v>1000</v>
      </c>
      <c r="O88" s="21">
        <v>1250</v>
      </c>
      <c r="P88" s="35">
        <v>27750</v>
      </c>
      <c r="Q88" s="21">
        <v>0</v>
      </c>
      <c r="R88" s="23">
        <v>0</v>
      </c>
    </row>
    <row r="89" spans="1:18" ht="10.5" customHeight="1" x14ac:dyDescent="0.35">
      <c r="A89" s="24" t="s">
        <v>38</v>
      </c>
      <c r="B89" s="33" t="s">
        <v>379</v>
      </c>
      <c r="C89" s="26" t="s">
        <v>312</v>
      </c>
      <c r="D89" s="13" t="s">
        <v>401</v>
      </c>
      <c r="E89" s="20" t="s">
        <v>404</v>
      </c>
      <c r="F89" s="22">
        <v>52</v>
      </c>
      <c r="G89" s="22">
        <v>0</v>
      </c>
      <c r="H89" s="27" t="s">
        <v>33</v>
      </c>
      <c r="I89" s="40" t="s">
        <v>42</v>
      </c>
      <c r="J89" s="28">
        <v>2017</v>
      </c>
      <c r="K89" s="29" t="s">
        <v>34</v>
      </c>
      <c r="L89" s="30" t="s">
        <v>315</v>
      </c>
      <c r="M89" s="31">
        <v>8000</v>
      </c>
      <c r="N89" s="32">
        <v>8000</v>
      </c>
      <c r="O89" s="21">
        <v>0</v>
      </c>
      <c r="P89" s="35">
        <v>0</v>
      </c>
      <c r="Q89" s="21">
        <v>0</v>
      </c>
      <c r="R89" s="23">
        <v>0</v>
      </c>
    </row>
    <row r="90" spans="1:18" x14ac:dyDescent="0.35">
      <c r="A90" s="24" t="s">
        <v>91</v>
      </c>
      <c r="B90" s="33" t="s">
        <v>383</v>
      </c>
      <c r="C90" s="26" t="s">
        <v>405</v>
      </c>
      <c r="D90" s="13" t="s">
        <v>406</v>
      </c>
      <c r="E90" s="20" t="s">
        <v>407</v>
      </c>
      <c r="F90" s="22">
        <v>4200</v>
      </c>
      <c r="G90" s="22">
        <v>0</v>
      </c>
      <c r="H90" s="27" t="s">
        <v>33</v>
      </c>
      <c r="I90" s="40" t="s">
        <v>42</v>
      </c>
      <c r="J90" s="28">
        <v>2017</v>
      </c>
      <c r="K90" s="34" t="s">
        <v>47</v>
      </c>
      <c r="L90" s="30" t="s">
        <v>90</v>
      </c>
      <c r="M90" s="31">
        <v>90000</v>
      </c>
      <c r="N90" s="32">
        <v>0</v>
      </c>
      <c r="O90" s="35">
        <v>0</v>
      </c>
      <c r="P90" s="21">
        <v>54000</v>
      </c>
      <c r="Q90" s="35">
        <v>0</v>
      </c>
      <c r="R90" s="23">
        <v>36000</v>
      </c>
    </row>
    <row r="91" spans="1:18" x14ac:dyDescent="0.35">
      <c r="A91" s="24" t="s">
        <v>35</v>
      </c>
      <c r="B91" s="33" t="s">
        <v>408</v>
      </c>
      <c r="C91" s="26" t="s">
        <v>409</v>
      </c>
      <c r="D91" s="13" t="s">
        <v>410</v>
      </c>
      <c r="E91" s="20" t="s">
        <v>411</v>
      </c>
      <c r="F91" s="22">
        <v>236.5</v>
      </c>
      <c r="G91" s="22">
        <v>0</v>
      </c>
      <c r="H91" s="27" t="s">
        <v>33</v>
      </c>
      <c r="I91" s="40" t="s">
        <v>42</v>
      </c>
      <c r="J91" s="28">
        <v>2014</v>
      </c>
      <c r="K91" s="29" t="s">
        <v>34</v>
      </c>
      <c r="L91" s="30" t="s">
        <v>412</v>
      </c>
      <c r="M91" s="31">
        <v>14600</v>
      </c>
      <c r="N91" s="32">
        <v>12000</v>
      </c>
      <c r="O91" s="21">
        <v>1300</v>
      </c>
      <c r="P91" s="35">
        <v>0</v>
      </c>
      <c r="Q91" s="21">
        <v>0</v>
      </c>
      <c r="R91" s="23">
        <v>1300</v>
      </c>
    </row>
    <row r="92" spans="1:18" x14ac:dyDescent="0.35">
      <c r="A92" s="24" t="s">
        <v>38</v>
      </c>
      <c r="B92" s="33" t="s">
        <v>39</v>
      </c>
      <c r="C92" s="26" t="s">
        <v>413</v>
      </c>
      <c r="D92" s="13" t="s">
        <v>414</v>
      </c>
      <c r="E92" s="20" t="s">
        <v>415</v>
      </c>
      <c r="F92" s="22">
        <v>8700</v>
      </c>
      <c r="G92" s="22">
        <v>0</v>
      </c>
      <c r="H92" s="27" t="s">
        <v>33</v>
      </c>
      <c r="I92" s="13" t="s">
        <v>42</v>
      </c>
      <c r="J92" s="28">
        <v>2015</v>
      </c>
      <c r="K92" s="29" t="s">
        <v>47</v>
      </c>
      <c r="L92" s="30" t="s">
        <v>416</v>
      </c>
      <c r="M92" s="31">
        <v>25000</v>
      </c>
      <c r="N92" s="32">
        <v>3000</v>
      </c>
      <c r="O92" s="21">
        <v>9500</v>
      </c>
      <c r="P92" s="35">
        <v>12500</v>
      </c>
      <c r="Q92" s="21">
        <v>0</v>
      </c>
      <c r="R92" s="23">
        <v>0</v>
      </c>
    </row>
    <row r="93" spans="1:18" ht="10.5" customHeight="1" x14ac:dyDescent="0.35">
      <c r="A93" s="24" t="s">
        <v>100</v>
      </c>
      <c r="B93" s="33" t="s">
        <v>118</v>
      </c>
      <c r="C93" s="26" t="s">
        <v>418</v>
      </c>
      <c r="D93" s="13" t="s">
        <v>419</v>
      </c>
      <c r="E93" s="20" t="s">
        <v>420</v>
      </c>
      <c r="F93" s="22">
        <v>1400</v>
      </c>
      <c r="G93" s="22">
        <v>0</v>
      </c>
      <c r="H93" s="27" t="s">
        <v>33</v>
      </c>
      <c r="I93" s="40" t="s">
        <v>42</v>
      </c>
      <c r="J93" s="28">
        <v>2015</v>
      </c>
      <c r="K93" s="34" t="s">
        <v>47</v>
      </c>
      <c r="L93" s="30" t="s">
        <v>421</v>
      </c>
      <c r="M93" s="31">
        <v>35500</v>
      </c>
      <c r="N93" s="32">
        <v>15500</v>
      </c>
      <c r="O93" s="21">
        <v>0</v>
      </c>
      <c r="P93" s="35">
        <v>20000</v>
      </c>
      <c r="Q93" s="21">
        <v>0</v>
      </c>
      <c r="R93" s="23">
        <v>0</v>
      </c>
    </row>
    <row r="94" spans="1:18" ht="10.5" customHeight="1" x14ac:dyDescent="0.35">
      <c r="A94" s="24" t="s">
        <v>100</v>
      </c>
      <c r="B94" s="25" t="s">
        <v>101</v>
      </c>
      <c r="C94" s="36" t="s">
        <v>422</v>
      </c>
      <c r="D94" s="13" t="s">
        <v>423</v>
      </c>
      <c r="E94" s="20" t="s">
        <v>424</v>
      </c>
      <c r="F94" s="22">
        <v>16</v>
      </c>
      <c r="G94" s="22">
        <v>0</v>
      </c>
      <c r="H94" s="27" t="s">
        <v>33</v>
      </c>
      <c r="I94" s="40" t="s">
        <v>42</v>
      </c>
      <c r="J94" s="28">
        <v>2011</v>
      </c>
      <c r="K94" s="29" t="s">
        <v>47</v>
      </c>
      <c r="L94" s="30" t="s">
        <v>372</v>
      </c>
      <c r="M94" s="31">
        <v>1500</v>
      </c>
      <c r="N94" s="32">
        <v>0</v>
      </c>
      <c r="O94" s="35">
        <v>0</v>
      </c>
      <c r="P94" s="21">
        <v>900</v>
      </c>
      <c r="Q94" s="21">
        <v>0</v>
      </c>
      <c r="R94" s="23">
        <v>600</v>
      </c>
    </row>
    <row r="95" spans="1:18" ht="10.5" customHeight="1" x14ac:dyDescent="0.35">
      <c r="A95" s="24" t="s">
        <v>38</v>
      </c>
      <c r="B95" s="33" t="s">
        <v>212</v>
      </c>
      <c r="C95" s="26" t="s">
        <v>427</v>
      </c>
      <c r="D95" s="13" t="s">
        <v>428</v>
      </c>
      <c r="E95" s="20" t="s">
        <v>429</v>
      </c>
      <c r="F95" s="22">
        <v>0</v>
      </c>
      <c r="G95" s="22">
        <v>80</v>
      </c>
      <c r="H95" s="27" t="s">
        <v>52</v>
      </c>
      <c r="I95" s="40" t="s">
        <v>42</v>
      </c>
      <c r="J95" s="28">
        <v>2008</v>
      </c>
      <c r="K95" s="29" t="s">
        <v>47</v>
      </c>
      <c r="L95" s="30" t="s">
        <v>430</v>
      </c>
      <c r="M95" s="31">
        <v>100000</v>
      </c>
      <c r="N95" s="32">
        <v>0</v>
      </c>
      <c r="O95" s="21">
        <v>0</v>
      </c>
      <c r="P95" s="35">
        <v>0</v>
      </c>
      <c r="Q95" s="21">
        <v>0</v>
      </c>
      <c r="R95" s="23">
        <v>100000</v>
      </c>
    </row>
    <row r="96" spans="1:18" ht="10.5" customHeight="1" x14ac:dyDescent="0.35">
      <c r="A96" s="24" t="s">
        <v>48</v>
      </c>
      <c r="B96" s="33" t="s">
        <v>71</v>
      </c>
      <c r="C96" s="26" t="s">
        <v>431</v>
      </c>
      <c r="D96" s="13" t="s">
        <v>432</v>
      </c>
      <c r="E96" s="20" t="s">
        <v>433</v>
      </c>
      <c r="F96" s="22">
        <v>145</v>
      </c>
      <c r="G96" s="22">
        <v>0</v>
      </c>
      <c r="H96" s="27" t="s">
        <v>33</v>
      </c>
      <c r="I96" s="40" t="s">
        <v>42</v>
      </c>
      <c r="J96" s="28">
        <v>2016</v>
      </c>
      <c r="K96" s="29" t="s">
        <v>34</v>
      </c>
      <c r="L96" s="30" t="s">
        <v>434</v>
      </c>
      <c r="M96" s="31">
        <v>4720</v>
      </c>
      <c r="N96" s="32">
        <v>0</v>
      </c>
      <c r="O96" s="21">
        <v>4720</v>
      </c>
      <c r="P96" s="21">
        <v>0</v>
      </c>
      <c r="Q96" s="21">
        <v>0</v>
      </c>
      <c r="R96" s="23">
        <v>0</v>
      </c>
    </row>
    <row r="97" spans="1:18" ht="10.5" customHeight="1" x14ac:dyDescent="0.35">
      <c r="A97" s="24" t="s">
        <v>48</v>
      </c>
      <c r="B97" s="33" t="s">
        <v>49</v>
      </c>
      <c r="C97" s="26" t="s">
        <v>435</v>
      </c>
      <c r="D97" s="13" t="s">
        <v>436</v>
      </c>
      <c r="E97" s="20" t="s">
        <v>437</v>
      </c>
      <c r="F97" s="22">
        <v>4800</v>
      </c>
      <c r="G97" s="22">
        <v>0</v>
      </c>
      <c r="H97" s="27" t="s">
        <v>33</v>
      </c>
      <c r="I97" s="40" t="s">
        <v>42</v>
      </c>
      <c r="J97" s="28">
        <v>2016</v>
      </c>
      <c r="K97" s="34" t="s">
        <v>47</v>
      </c>
      <c r="L97" s="30" t="s">
        <v>438</v>
      </c>
      <c r="M97" s="43">
        <v>97000</v>
      </c>
      <c r="N97" s="32">
        <v>0</v>
      </c>
      <c r="O97" s="35">
        <v>0</v>
      </c>
      <c r="P97" s="21">
        <v>0</v>
      </c>
      <c r="Q97" s="21">
        <v>0</v>
      </c>
      <c r="R97" s="23">
        <v>97000</v>
      </c>
    </row>
    <row r="98" spans="1:18" ht="10.5" customHeight="1" x14ac:dyDescent="0.35">
      <c r="A98" s="24" t="s">
        <v>48</v>
      </c>
      <c r="B98" s="33" t="s">
        <v>440</v>
      </c>
      <c r="C98" s="26" t="s">
        <v>441</v>
      </c>
      <c r="D98" s="13" t="s">
        <v>442</v>
      </c>
      <c r="E98" s="20" t="s">
        <v>443</v>
      </c>
      <c r="F98" s="22">
        <v>989</v>
      </c>
      <c r="G98" s="22">
        <v>0</v>
      </c>
      <c r="H98" s="27" t="s">
        <v>33</v>
      </c>
      <c r="I98" s="40" t="s">
        <v>42</v>
      </c>
      <c r="J98" s="28">
        <v>2012</v>
      </c>
      <c r="K98" s="29" t="s">
        <v>34</v>
      </c>
      <c r="L98" s="30" t="s">
        <v>444</v>
      </c>
      <c r="M98" s="31">
        <v>20000</v>
      </c>
      <c r="N98" s="32">
        <v>0</v>
      </c>
      <c r="O98" s="21">
        <v>20000</v>
      </c>
      <c r="P98" s="35">
        <v>0</v>
      </c>
      <c r="Q98" s="21">
        <v>0</v>
      </c>
      <c r="R98" s="23">
        <v>0</v>
      </c>
    </row>
    <row r="99" spans="1:18" ht="10.5" customHeight="1" x14ac:dyDescent="0.35">
      <c r="A99" s="24" t="s">
        <v>63</v>
      </c>
      <c r="B99" s="33" t="s">
        <v>382</v>
      </c>
      <c r="C99" s="26" t="s">
        <v>445</v>
      </c>
      <c r="D99" s="13" t="s">
        <v>446</v>
      </c>
      <c r="E99" s="20" t="s">
        <v>447</v>
      </c>
      <c r="F99" s="22">
        <v>50</v>
      </c>
      <c r="G99" s="22">
        <v>0</v>
      </c>
      <c r="H99" s="27" t="s">
        <v>33</v>
      </c>
      <c r="I99" s="40" t="s">
        <v>42</v>
      </c>
      <c r="J99" s="28" t="s">
        <v>93</v>
      </c>
      <c r="K99" s="29" t="s">
        <v>34</v>
      </c>
      <c r="L99" s="30" t="s">
        <v>213</v>
      </c>
      <c r="M99" s="31">
        <v>1000</v>
      </c>
      <c r="N99" s="32">
        <v>1000</v>
      </c>
      <c r="O99" s="21">
        <v>0</v>
      </c>
      <c r="P99" s="35">
        <v>0</v>
      </c>
      <c r="Q99" s="21">
        <v>0</v>
      </c>
      <c r="R99" s="23">
        <v>0</v>
      </c>
    </row>
    <row r="100" spans="1:18" ht="10.5" customHeight="1" x14ac:dyDescent="0.35">
      <c r="A100" s="24" t="s">
        <v>48</v>
      </c>
      <c r="B100" s="33" t="s">
        <v>71</v>
      </c>
      <c r="C100" s="26" t="s">
        <v>448</v>
      </c>
      <c r="D100" s="13" t="s">
        <v>449</v>
      </c>
      <c r="E100" s="20" t="s">
        <v>450</v>
      </c>
      <c r="F100" s="22">
        <v>499</v>
      </c>
      <c r="G100" s="22">
        <v>0</v>
      </c>
      <c r="H100" s="27" t="s">
        <v>33</v>
      </c>
      <c r="I100" s="40" t="s">
        <v>42</v>
      </c>
      <c r="J100" s="28">
        <v>2014</v>
      </c>
      <c r="K100" s="29" t="s">
        <v>34</v>
      </c>
      <c r="L100" s="30" t="s">
        <v>451</v>
      </c>
      <c r="M100" s="31">
        <v>9100</v>
      </c>
      <c r="N100" s="32">
        <v>0</v>
      </c>
      <c r="O100" s="21">
        <v>8000</v>
      </c>
      <c r="P100" s="35">
        <v>0</v>
      </c>
      <c r="Q100" s="21">
        <v>1100</v>
      </c>
      <c r="R100" s="23">
        <v>0</v>
      </c>
    </row>
    <row r="101" spans="1:18" x14ac:dyDescent="0.35">
      <c r="A101" s="24" t="s">
        <v>48</v>
      </c>
      <c r="B101" s="33" t="s">
        <v>440</v>
      </c>
      <c r="C101" s="26" t="s">
        <v>331</v>
      </c>
      <c r="D101" s="13" t="s">
        <v>452</v>
      </c>
      <c r="E101" s="20" t="s">
        <v>453</v>
      </c>
      <c r="F101" s="22">
        <v>2600</v>
      </c>
      <c r="G101" s="22">
        <v>0</v>
      </c>
      <c r="H101" s="27" t="s">
        <v>33</v>
      </c>
      <c r="I101" s="40" t="s">
        <v>42</v>
      </c>
      <c r="J101" s="28">
        <v>2014</v>
      </c>
      <c r="K101" s="34" t="s">
        <v>47</v>
      </c>
      <c r="L101" s="30" t="s">
        <v>152</v>
      </c>
      <c r="M101" s="31">
        <v>45000</v>
      </c>
      <c r="N101" s="32">
        <v>0</v>
      </c>
      <c r="O101" s="21">
        <v>0</v>
      </c>
      <c r="P101" s="35">
        <v>45000</v>
      </c>
      <c r="Q101" s="21">
        <v>0</v>
      </c>
      <c r="R101" s="23">
        <v>0</v>
      </c>
    </row>
    <row r="102" spans="1:18" ht="10.5" customHeight="1" x14ac:dyDescent="0.35">
      <c r="A102" s="24" t="s">
        <v>100</v>
      </c>
      <c r="B102" s="33" t="s">
        <v>101</v>
      </c>
      <c r="C102" s="26" t="s">
        <v>454</v>
      </c>
      <c r="D102" s="13" t="s">
        <v>454</v>
      </c>
      <c r="E102" s="20" t="s">
        <v>455</v>
      </c>
      <c r="F102" s="22">
        <v>3</v>
      </c>
      <c r="G102" s="22">
        <v>0</v>
      </c>
      <c r="H102" s="27" t="s">
        <v>456</v>
      </c>
      <c r="I102" s="40" t="s">
        <v>42</v>
      </c>
      <c r="J102" s="28">
        <v>1997</v>
      </c>
      <c r="K102" s="29" t="s">
        <v>34</v>
      </c>
      <c r="L102" s="30" t="s">
        <v>457</v>
      </c>
      <c r="M102" s="31">
        <v>1000</v>
      </c>
      <c r="N102" s="32">
        <v>800</v>
      </c>
      <c r="O102" s="21">
        <v>0</v>
      </c>
      <c r="P102" s="35">
        <v>0</v>
      </c>
      <c r="Q102" s="21">
        <v>0</v>
      </c>
      <c r="R102" s="23">
        <v>200</v>
      </c>
    </row>
    <row r="103" spans="1:18" ht="10.5" customHeight="1" x14ac:dyDescent="0.35">
      <c r="A103" s="24" t="s">
        <v>30</v>
      </c>
      <c r="B103" s="33" t="s">
        <v>31</v>
      </c>
      <c r="C103" s="26" t="s">
        <v>458</v>
      </c>
      <c r="D103" s="13" t="s">
        <v>459</v>
      </c>
      <c r="E103" s="20" t="s">
        <v>460</v>
      </c>
      <c r="F103" s="22">
        <v>5500</v>
      </c>
      <c r="G103" s="22">
        <v>0</v>
      </c>
      <c r="H103" s="27" t="s">
        <v>33</v>
      </c>
      <c r="I103" s="40" t="s">
        <v>42</v>
      </c>
      <c r="J103" s="28">
        <v>2013</v>
      </c>
      <c r="K103" s="29" t="s">
        <v>47</v>
      </c>
      <c r="L103" s="30" t="s">
        <v>461</v>
      </c>
      <c r="M103" s="31">
        <v>90000</v>
      </c>
      <c r="N103" s="32">
        <v>0</v>
      </c>
      <c r="O103" s="21">
        <v>0</v>
      </c>
      <c r="P103" s="35">
        <v>0</v>
      </c>
      <c r="Q103" s="21">
        <v>0</v>
      </c>
      <c r="R103" s="23">
        <v>90000</v>
      </c>
    </row>
    <row r="104" spans="1:18" ht="10.5" customHeight="1" x14ac:dyDescent="0.35">
      <c r="A104" s="24" t="s">
        <v>30</v>
      </c>
      <c r="B104" s="33" t="s">
        <v>31</v>
      </c>
      <c r="C104" s="26" t="s">
        <v>462</v>
      </c>
      <c r="D104" s="13" t="s">
        <v>463</v>
      </c>
      <c r="E104" s="20" t="s">
        <v>464</v>
      </c>
      <c r="F104" s="22">
        <v>485</v>
      </c>
      <c r="G104" s="22">
        <v>0</v>
      </c>
      <c r="H104" s="27" t="s">
        <v>33</v>
      </c>
      <c r="I104" s="40" t="s">
        <v>42</v>
      </c>
      <c r="J104" s="28">
        <v>2017</v>
      </c>
      <c r="K104" s="29" t="s">
        <v>34</v>
      </c>
      <c r="L104" s="30" t="s">
        <v>465</v>
      </c>
      <c r="M104" s="31">
        <v>18000</v>
      </c>
      <c r="N104" s="32">
        <v>12000</v>
      </c>
      <c r="O104" s="35">
        <v>6000</v>
      </c>
      <c r="P104" s="21">
        <v>0</v>
      </c>
      <c r="Q104" s="21">
        <v>0</v>
      </c>
      <c r="R104" s="23">
        <v>0</v>
      </c>
    </row>
    <row r="105" spans="1:18" ht="10.5" customHeight="1" x14ac:dyDescent="0.35">
      <c r="A105" s="24" t="s">
        <v>466</v>
      </c>
      <c r="B105" s="33" t="s">
        <v>467</v>
      </c>
      <c r="C105" s="26" t="s">
        <v>468</v>
      </c>
      <c r="D105" s="13" t="s">
        <v>469</v>
      </c>
      <c r="E105" s="20" t="s">
        <v>470</v>
      </c>
      <c r="F105" s="22">
        <v>0</v>
      </c>
      <c r="G105" s="22">
        <v>0</v>
      </c>
      <c r="H105" s="27" t="s">
        <v>33</v>
      </c>
      <c r="I105" s="40" t="s">
        <v>42</v>
      </c>
      <c r="J105" s="28">
        <v>2013</v>
      </c>
      <c r="K105" s="29" t="s">
        <v>47</v>
      </c>
      <c r="L105" s="30" t="s">
        <v>152</v>
      </c>
      <c r="M105" s="31">
        <v>100</v>
      </c>
      <c r="N105" s="32">
        <v>0</v>
      </c>
      <c r="O105" s="21">
        <v>0</v>
      </c>
      <c r="P105" s="35">
        <v>100</v>
      </c>
      <c r="Q105" s="21">
        <v>0</v>
      </c>
      <c r="R105" s="23">
        <v>0</v>
      </c>
    </row>
    <row r="106" spans="1:18" ht="10.5" customHeight="1" x14ac:dyDescent="0.35">
      <c r="A106" s="24" t="s">
        <v>48</v>
      </c>
      <c r="B106" s="33" t="s">
        <v>210</v>
      </c>
      <c r="C106" s="26" t="s">
        <v>248</v>
      </c>
      <c r="D106" s="13" t="s">
        <v>471</v>
      </c>
      <c r="E106" s="20" t="s">
        <v>472</v>
      </c>
      <c r="F106" s="22">
        <v>500</v>
      </c>
      <c r="G106" s="22">
        <v>500</v>
      </c>
      <c r="H106" s="27" t="s">
        <v>52</v>
      </c>
      <c r="I106" s="40" t="s">
        <v>42</v>
      </c>
      <c r="J106" s="28">
        <v>2016</v>
      </c>
      <c r="K106" s="34" t="s">
        <v>34</v>
      </c>
      <c r="L106" s="30" t="s">
        <v>473</v>
      </c>
      <c r="M106" s="31">
        <v>40000</v>
      </c>
      <c r="N106" s="32">
        <v>10000</v>
      </c>
      <c r="O106" s="35">
        <v>24000</v>
      </c>
      <c r="P106" s="21">
        <v>0</v>
      </c>
      <c r="Q106" s="21">
        <v>6000</v>
      </c>
      <c r="R106" s="23">
        <v>0</v>
      </c>
    </row>
    <row r="107" spans="1:18" ht="10.5" customHeight="1" x14ac:dyDescent="0.35">
      <c r="A107" s="24" t="s">
        <v>63</v>
      </c>
      <c r="B107" s="33" t="s">
        <v>257</v>
      </c>
      <c r="C107" s="26" t="s">
        <v>475</v>
      </c>
      <c r="D107" s="13" t="s">
        <v>476</v>
      </c>
      <c r="E107" s="13" t="s">
        <v>477</v>
      </c>
      <c r="F107" s="22">
        <v>1265</v>
      </c>
      <c r="G107" s="22">
        <v>550</v>
      </c>
      <c r="H107" s="27" t="s">
        <v>52</v>
      </c>
      <c r="I107" s="13" t="s">
        <v>42</v>
      </c>
      <c r="J107" s="28">
        <v>2009</v>
      </c>
      <c r="K107" s="34" t="s">
        <v>47</v>
      </c>
      <c r="L107" s="30" t="s">
        <v>152</v>
      </c>
      <c r="M107" s="31">
        <v>72000</v>
      </c>
      <c r="N107" s="32">
        <v>0</v>
      </c>
      <c r="O107" s="21">
        <v>0</v>
      </c>
      <c r="P107" s="35">
        <v>72000</v>
      </c>
      <c r="Q107" s="21">
        <v>0</v>
      </c>
      <c r="R107" s="23">
        <v>0</v>
      </c>
    </row>
    <row r="108" spans="1:18" ht="10.5" customHeight="1" x14ac:dyDescent="0.35">
      <c r="A108" s="24" t="s">
        <v>100</v>
      </c>
      <c r="B108" s="33" t="s">
        <v>118</v>
      </c>
      <c r="C108" s="26" t="s">
        <v>478</v>
      </c>
      <c r="D108" s="13" t="s">
        <v>479</v>
      </c>
      <c r="E108" s="20" t="s">
        <v>480</v>
      </c>
      <c r="F108" s="22">
        <v>2000</v>
      </c>
      <c r="G108" s="22">
        <v>0</v>
      </c>
      <c r="H108" s="27" t="s">
        <v>33</v>
      </c>
      <c r="I108" s="40" t="s">
        <v>42</v>
      </c>
      <c r="J108" s="28">
        <v>2016</v>
      </c>
      <c r="K108" s="34" t="s">
        <v>47</v>
      </c>
      <c r="L108" s="30" t="s">
        <v>152</v>
      </c>
      <c r="M108" s="31">
        <v>35000</v>
      </c>
      <c r="N108" s="32">
        <v>0</v>
      </c>
      <c r="O108" s="21">
        <v>0</v>
      </c>
      <c r="P108" s="35">
        <v>35000</v>
      </c>
      <c r="Q108" s="21">
        <v>0</v>
      </c>
      <c r="R108" s="23">
        <v>0</v>
      </c>
    </row>
    <row r="109" spans="1:18" ht="10.5" customHeight="1" x14ac:dyDescent="0.35">
      <c r="A109" s="24" t="s">
        <v>44</v>
      </c>
      <c r="B109" s="33" t="s">
        <v>54</v>
      </c>
      <c r="C109" s="26" t="s">
        <v>481</v>
      </c>
      <c r="D109" s="13" t="s">
        <v>482</v>
      </c>
      <c r="E109" s="20" t="s">
        <v>483</v>
      </c>
      <c r="F109" s="22">
        <v>625</v>
      </c>
      <c r="G109" s="22">
        <v>0</v>
      </c>
      <c r="H109" s="27" t="s">
        <v>33</v>
      </c>
      <c r="I109" s="40" t="s">
        <v>42</v>
      </c>
      <c r="J109" s="28">
        <v>2017</v>
      </c>
      <c r="K109" s="29" t="s">
        <v>34</v>
      </c>
      <c r="L109" s="30" t="s">
        <v>484</v>
      </c>
      <c r="M109" s="31">
        <v>20500</v>
      </c>
      <c r="N109" s="32">
        <v>3000</v>
      </c>
      <c r="O109" s="21">
        <v>4500</v>
      </c>
      <c r="P109" s="21">
        <v>0</v>
      </c>
      <c r="Q109" s="21">
        <v>13000</v>
      </c>
      <c r="R109" s="23">
        <v>0</v>
      </c>
    </row>
    <row r="110" spans="1:18" x14ac:dyDescent="0.35">
      <c r="A110" s="24" t="s">
        <v>44</v>
      </c>
      <c r="B110" s="33" t="s">
        <v>106</v>
      </c>
      <c r="C110" s="26" t="s">
        <v>2072</v>
      </c>
      <c r="D110" s="13" t="s">
        <v>487</v>
      </c>
      <c r="E110" s="20" t="s">
        <v>488</v>
      </c>
      <c r="F110" s="22">
        <v>500</v>
      </c>
      <c r="G110" s="22">
        <v>0</v>
      </c>
      <c r="H110" s="27" t="s">
        <v>33</v>
      </c>
      <c r="I110" s="40" t="s">
        <v>42</v>
      </c>
      <c r="J110" s="28">
        <v>2014</v>
      </c>
      <c r="K110" s="29" t="s">
        <v>34</v>
      </c>
      <c r="L110" s="30" t="s">
        <v>110</v>
      </c>
      <c r="M110" s="31">
        <v>14600</v>
      </c>
      <c r="N110" s="32">
        <v>7300</v>
      </c>
      <c r="O110" s="35">
        <v>7300</v>
      </c>
      <c r="P110" s="21">
        <v>0</v>
      </c>
      <c r="Q110" s="21">
        <v>0</v>
      </c>
      <c r="R110" s="23">
        <v>0</v>
      </c>
    </row>
    <row r="111" spans="1:18" x14ac:dyDescent="0.35">
      <c r="A111" s="24" t="s">
        <v>91</v>
      </c>
      <c r="B111" s="33" t="s">
        <v>92</v>
      </c>
      <c r="C111" s="26" t="s">
        <v>331</v>
      </c>
      <c r="D111" s="13" t="s">
        <v>489</v>
      </c>
      <c r="E111" s="20" t="s">
        <v>490</v>
      </c>
      <c r="F111" s="22">
        <v>1500</v>
      </c>
      <c r="G111" s="22">
        <v>0</v>
      </c>
      <c r="H111" s="27" t="s">
        <v>33</v>
      </c>
      <c r="I111" s="40" t="s">
        <v>42</v>
      </c>
      <c r="J111" s="28">
        <v>2013</v>
      </c>
      <c r="K111" s="34" t="s">
        <v>47</v>
      </c>
      <c r="L111" s="30" t="s">
        <v>491</v>
      </c>
      <c r="M111" s="31">
        <v>40000</v>
      </c>
      <c r="N111" s="32">
        <v>10000</v>
      </c>
      <c r="O111" s="21">
        <v>0</v>
      </c>
      <c r="P111" s="21">
        <v>30000</v>
      </c>
      <c r="Q111" s="21">
        <v>0</v>
      </c>
      <c r="R111" s="23">
        <v>0</v>
      </c>
    </row>
    <row r="112" spans="1:18" x14ac:dyDescent="0.35">
      <c r="A112" s="24" t="s">
        <v>44</v>
      </c>
      <c r="B112" s="33" t="s">
        <v>54</v>
      </c>
      <c r="C112" s="26" t="s">
        <v>493</v>
      </c>
      <c r="D112" s="13" t="s">
        <v>494</v>
      </c>
      <c r="E112" s="20" t="s">
        <v>495</v>
      </c>
      <c r="F112" s="22">
        <v>200</v>
      </c>
      <c r="G112" s="22">
        <v>0</v>
      </c>
      <c r="H112" s="27" t="s">
        <v>33</v>
      </c>
      <c r="I112" s="40" t="s">
        <v>42</v>
      </c>
      <c r="J112" s="28">
        <v>2019</v>
      </c>
      <c r="K112" s="29" t="s">
        <v>34</v>
      </c>
      <c r="L112" s="30" t="s">
        <v>496</v>
      </c>
      <c r="M112" s="31">
        <v>4000</v>
      </c>
      <c r="N112" s="32">
        <v>4000</v>
      </c>
      <c r="O112" s="35">
        <v>0</v>
      </c>
      <c r="P112" s="21">
        <v>0</v>
      </c>
      <c r="Q112" s="35">
        <v>0</v>
      </c>
      <c r="R112" s="23">
        <v>0</v>
      </c>
    </row>
    <row r="113" spans="1:18" ht="10.5" customHeight="1" x14ac:dyDescent="0.35">
      <c r="A113" s="24" t="s">
        <v>44</v>
      </c>
      <c r="B113" s="33" t="s">
        <v>45</v>
      </c>
      <c r="C113" s="26" t="s">
        <v>497</v>
      </c>
      <c r="D113" s="13" t="s">
        <v>498</v>
      </c>
      <c r="E113" s="20" t="s">
        <v>499</v>
      </c>
      <c r="F113" s="22">
        <v>500</v>
      </c>
      <c r="G113" s="22">
        <v>0</v>
      </c>
      <c r="H113" s="27" t="s">
        <v>33</v>
      </c>
      <c r="I113" s="40" t="s">
        <v>42</v>
      </c>
      <c r="J113" s="28" t="s">
        <v>93</v>
      </c>
      <c r="K113" s="29" t="s">
        <v>34</v>
      </c>
      <c r="L113" s="30" t="s">
        <v>500</v>
      </c>
      <c r="M113" s="31">
        <v>11500</v>
      </c>
      <c r="N113" s="32">
        <v>4500</v>
      </c>
      <c r="O113" s="21">
        <v>7000</v>
      </c>
      <c r="P113" s="21">
        <v>0</v>
      </c>
      <c r="Q113" s="35">
        <v>0</v>
      </c>
      <c r="R113" s="23">
        <v>0</v>
      </c>
    </row>
    <row r="114" spans="1:18" x14ac:dyDescent="0.35">
      <c r="A114" s="24" t="s">
        <v>35</v>
      </c>
      <c r="B114" s="33" t="s">
        <v>36</v>
      </c>
      <c r="C114" s="26" t="s">
        <v>501</v>
      </c>
      <c r="D114" s="13" t="s">
        <v>502</v>
      </c>
      <c r="E114" s="20" t="s">
        <v>503</v>
      </c>
      <c r="F114" s="22">
        <v>2972</v>
      </c>
      <c r="G114" s="22">
        <v>0</v>
      </c>
      <c r="H114" s="27" t="s">
        <v>33</v>
      </c>
      <c r="I114" s="40" t="s">
        <v>42</v>
      </c>
      <c r="J114" s="28">
        <v>2015</v>
      </c>
      <c r="K114" s="34" t="s">
        <v>34</v>
      </c>
      <c r="L114" s="30" t="s">
        <v>504</v>
      </c>
      <c r="M114" s="31">
        <v>55000</v>
      </c>
      <c r="N114" s="32">
        <v>0</v>
      </c>
      <c r="O114" s="35">
        <v>55000</v>
      </c>
      <c r="P114" s="21">
        <v>0</v>
      </c>
      <c r="Q114" s="21">
        <v>0</v>
      </c>
      <c r="R114" s="23">
        <v>0</v>
      </c>
    </row>
    <row r="115" spans="1:18" ht="10.5" customHeight="1" x14ac:dyDescent="0.35">
      <c r="A115" s="24" t="s">
        <v>30</v>
      </c>
      <c r="B115" s="33" t="s">
        <v>31</v>
      </c>
      <c r="C115" s="26" t="s">
        <v>505</v>
      </c>
      <c r="D115" s="13" t="s">
        <v>506</v>
      </c>
      <c r="E115" s="20" t="s">
        <v>507</v>
      </c>
      <c r="F115" s="22">
        <v>195</v>
      </c>
      <c r="G115" s="22">
        <v>0</v>
      </c>
      <c r="H115" s="27" t="s">
        <v>33</v>
      </c>
      <c r="I115" s="40" t="s">
        <v>42</v>
      </c>
      <c r="J115" s="28">
        <v>2016</v>
      </c>
      <c r="K115" s="34" t="s">
        <v>34</v>
      </c>
      <c r="L115" s="30" t="s">
        <v>259</v>
      </c>
      <c r="M115" s="43">
        <v>2000</v>
      </c>
      <c r="N115" s="32">
        <v>1000</v>
      </c>
      <c r="O115" s="21">
        <v>1000</v>
      </c>
      <c r="P115" s="21">
        <v>0</v>
      </c>
      <c r="Q115" s="35">
        <v>0</v>
      </c>
      <c r="R115" s="23">
        <v>0</v>
      </c>
    </row>
    <row r="116" spans="1:18" ht="10.5" customHeight="1" x14ac:dyDescent="0.35">
      <c r="A116" s="24" t="s">
        <v>91</v>
      </c>
      <c r="B116" s="33" t="s">
        <v>202</v>
      </c>
      <c r="C116" s="26" t="s">
        <v>244</v>
      </c>
      <c r="D116" s="13" t="s">
        <v>509</v>
      </c>
      <c r="E116" s="13" t="s">
        <v>2141</v>
      </c>
      <c r="F116" s="22">
        <v>2100</v>
      </c>
      <c r="G116" s="22">
        <v>0</v>
      </c>
      <c r="H116" s="27" t="s">
        <v>33</v>
      </c>
      <c r="I116" s="40" t="s">
        <v>42</v>
      </c>
      <c r="J116" s="28">
        <v>2010</v>
      </c>
      <c r="K116" s="34" t="s">
        <v>47</v>
      </c>
      <c r="L116" s="30" t="s">
        <v>152</v>
      </c>
      <c r="M116" s="31">
        <v>50000</v>
      </c>
      <c r="N116" s="32">
        <v>0</v>
      </c>
      <c r="O116" s="35">
        <v>0</v>
      </c>
      <c r="P116" s="21">
        <v>50000</v>
      </c>
      <c r="Q116" s="21">
        <v>0</v>
      </c>
      <c r="R116" s="23">
        <v>0</v>
      </c>
    </row>
    <row r="117" spans="1:18" x14ac:dyDescent="0.35">
      <c r="A117" s="24" t="s">
        <v>94</v>
      </c>
      <c r="B117" s="33" t="s">
        <v>123</v>
      </c>
      <c r="C117" s="26" t="s">
        <v>510</v>
      </c>
      <c r="D117" s="13" t="s">
        <v>511</v>
      </c>
      <c r="E117" s="20" t="s">
        <v>512</v>
      </c>
      <c r="F117" s="22">
        <v>245</v>
      </c>
      <c r="G117" s="22">
        <v>0</v>
      </c>
      <c r="H117" s="27" t="s">
        <v>33</v>
      </c>
      <c r="I117" s="40" t="s">
        <v>42</v>
      </c>
      <c r="J117" s="28">
        <v>2015</v>
      </c>
      <c r="K117" s="29" t="s">
        <v>34</v>
      </c>
      <c r="L117" s="30" t="s">
        <v>58</v>
      </c>
      <c r="M117" s="31">
        <v>3000</v>
      </c>
      <c r="N117" s="32">
        <v>3000</v>
      </c>
      <c r="O117" s="35">
        <v>0</v>
      </c>
      <c r="P117" s="21">
        <v>0</v>
      </c>
      <c r="Q117" s="21">
        <v>0</v>
      </c>
      <c r="R117" s="23">
        <v>0</v>
      </c>
    </row>
    <row r="118" spans="1:18" ht="10.5" customHeight="1" x14ac:dyDescent="0.35">
      <c r="A118" s="24" t="s">
        <v>48</v>
      </c>
      <c r="B118" s="48" t="s">
        <v>440</v>
      </c>
      <c r="C118" s="26" t="s">
        <v>513</v>
      </c>
      <c r="D118" s="13" t="s">
        <v>514</v>
      </c>
      <c r="E118" s="13" t="s">
        <v>515</v>
      </c>
      <c r="F118" s="22">
        <v>1500</v>
      </c>
      <c r="G118" s="22">
        <v>0</v>
      </c>
      <c r="H118" s="27" t="s">
        <v>33</v>
      </c>
      <c r="I118" s="13" t="s">
        <v>42</v>
      </c>
      <c r="J118" s="28">
        <v>2015</v>
      </c>
      <c r="K118" s="29" t="s">
        <v>47</v>
      </c>
      <c r="L118" s="30" t="s">
        <v>152</v>
      </c>
      <c r="M118" s="31">
        <v>27000</v>
      </c>
      <c r="N118" s="32">
        <v>0</v>
      </c>
      <c r="O118" s="35">
        <v>0</v>
      </c>
      <c r="P118" s="21">
        <v>27000</v>
      </c>
      <c r="Q118" s="21">
        <v>0</v>
      </c>
      <c r="R118" s="23">
        <v>0</v>
      </c>
    </row>
    <row r="119" spans="1:18" x14ac:dyDescent="0.35">
      <c r="A119" s="24" t="s">
        <v>85</v>
      </c>
      <c r="B119" s="33" t="s">
        <v>330</v>
      </c>
      <c r="C119" s="26" t="s">
        <v>610</v>
      </c>
      <c r="D119" s="13" t="s">
        <v>2109</v>
      </c>
      <c r="E119" s="20" t="s">
        <v>611</v>
      </c>
      <c r="F119" s="22">
        <v>800</v>
      </c>
      <c r="G119" s="22">
        <v>0</v>
      </c>
      <c r="H119" s="27" t="s">
        <v>33</v>
      </c>
      <c r="I119" s="40" t="s">
        <v>42</v>
      </c>
      <c r="J119" s="28">
        <v>2019</v>
      </c>
      <c r="K119" s="29" t="s">
        <v>47</v>
      </c>
      <c r="L119" s="30" t="s">
        <v>152</v>
      </c>
      <c r="M119" s="31">
        <v>25000</v>
      </c>
      <c r="N119" s="32">
        <v>0</v>
      </c>
      <c r="O119" s="21">
        <v>0</v>
      </c>
      <c r="P119" s="35">
        <v>25000</v>
      </c>
      <c r="Q119" s="21">
        <v>0</v>
      </c>
      <c r="R119" s="23">
        <v>0</v>
      </c>
    </row>
    <row r="120" spans="1:18" ht="10.5" customHeight="1" x14ac:dyDescent="0.35">
      <c r="A120" s="24" t="s">
        <v>48</v>
      </c>
      <c r="B120" s="33" t="s">
        <v>49</v>
      </c>
      <c r="C120" s="26" t="s">
        <v>516</v>
      </c>
      <c r="D120" s="13" t="s">
        <v>517</v>
      </c>
      <c r="E120" s="20" t="s">
        <v>518</v>
      </c>
      <c r="F120" s="22">
        <v>500</v>
      </c>
      <c r="G120" s="22">
        <v>0</v>
      </c>
      <c r="H120" s="27" t="s">
        <v>33</v>
      </c>
      <c r="I120" s="40" t="s">
        <v>42</v>
      </c>
      <c r="J120" s="28">
        <v>2015</v>
      </c>
      <c r="K120" s="29" t="s">
        <v>47</v>
      </c>
      <c r="L120" s="30" t="s">
        <v>304</v>
      </c>
      <c r="M120" s="31">
        <v>68500</v>
      </c>
      <c r="N120" s="32">
        <v>0</v>
      </c>
      <c r="O120" s="21">
        <v>0</v>
      </c>
      <c r="P120" s="21">
        <v>0</v>
      </c>
      <c r="Q120" s="21">
        <v>0</v>
      </c>
      <c r="R120" s="23">
        <v>68500</v>
      </c>
    </row>
    <row r="121" spans="1:18" x14ac:dyDescent="0.35">
      <c r="A121" s="24" t="s">
        <v>100</v>
      </c>
      <c r="B121" s="33" t="s">
        <v>101</v>
      </c>
      <c r="C121" s="26" t="s">
        <v>519</v>
      </c>
      <c r="D121" s="13" t="s">
        <v>520</v>
      </c>
      <c r="E121" s="13" t="s">
        <v>521</v>
      </c>
      <c r="F121" s="22">
        <v>82</v>
      </c>
      <c r="G121" s="22">
        <v>0</v>
      </c>
      <c r="H121" s="27" t="s">
        <v>33</v>
      </c>
      <c r="I121" s="40" t="s">
        <v>42</v>
      </c>
      <c r="J121" s="28">
        <v>2017</v>
      </c>
      <c r="K121" s="34" t="s">
        <v>34</v>
      </c>
      <c r="L121" s="30" t="s">
        <v>522</v>
      </c>
      <c r="M121" s="31">
        <v>5000</v>
      </c>
      <c r="N121" s="32">
        <v>5000</v>
      </c>
      <c r="O121" s="35">
        <v>0</v>
      </c>
      <c r="P121" s="21">
        <v>0</v>
      </c>
      <c r="Q121" s="21">
        <v>0</v>
      </c>
      <c r="R121" s="23">
        <v>0</v>
      </c>
    </row>
    <row r="122" spans="1:18" x14ac:dyDescent="0.35">
      <c r="A122" s="24" t="s">
        <v>63</v>
      </c>
      <c r="B122" s="33" t="s">
        <v>382</v>
      </c>
      <c r="C122" s="26" t="s">
        <v>525</v>
      </c>
      <c r="D122" s="13" t="s">
        <v>525</v>
      </c>
      <c r="E122" s="20" t="s">
        <v>526</v>
      </c>
      <c r="F122" s="22">
        <v>100</v>
      </c>
      <c r="G122" s="22">
        <v>0</v>
      </c>
      <c r="H122" s="27" t="s">
        <v>33</v>
      </c>
      <c r="I122" s="40" t="s">
        <v>42</v>
      </c>
      <c r="J122" s="28">
        <v>2012</v>
      </c>
      <c r="K122" s="29" t="s">
        <v>34</v>
      </c>
      <c r="L122" s="30" t="s">
        <v>58</v>
      </c>
      <c r="M122" s="31">
        <v>2000</v>
      </c>
      <c r="N122" s="32">
        <v>2000</v>
      </c>
      <c r="O122" s="21">
        <v>0</v>
      </c>
      <c r="P122" s="21">
        <v>0</v>
      </c>
      <c r="Q122" s="21">
        <v>0</v>
      </c>
      <c r="R122" s="23">
        <v>0</v>
      </c>
    </row>
    <row r="123" spans="1:18" x14ac:dyDescent="0.35">
      <c r="A123" s="24" t="s">
        <v>30</v>
      </c>
      <c r="B123" s="25" t="s">
        <v>80</v>
      </c>
      <c r="C123" s="26" t="s">
        <v>527</v>
      </c>
      <c r="D123" s="13" t="s">
        <v>528</v>
      </c>
      <c r="E123" s="20" t="s">
        <v>529</v>
      </c>
      <c r="F123" s="22">
        <v>475</v>
      </c>
      <c r="G123" s="22">
        <v>0</v>
      </c>
      <c r="H123" s="27" t="s">
        <v>33</v>
      </c>
      <c r="I123" s="40" t="s">
        <v>42</v>
      </c>
      <c r="J123" s="28">
        <v>2015</v>
      </c>
      <c r="K123" s="29" t="s">
        <v>34</v>
      </c>
      <c r="L123" s="30" t="s">
        <v>530</v>
      </c>
      <c r="M123" s="31">
        <v>11200</v>
      </c>
      <c r="N123" s="32">
        <v>200</v>
      </c>
      <c r="O123" s="21">
        <v>11000</v>
      </c>
      <c r="P123" s="21">
        <v>0</v>
      </c>
      <c r="Q123" s="21">
        <v>0</v>
      </c>
      <c r="R123" s="23">
        <v>0</v>
      </c>
    </row>
    <row r="124" spans="1:18" ht="10.5" customHeight="1" x14ac:dyDescent="0.35">
      <c r="A124" s="24" t="s">
        <v>30</v>
      </c>
      <c r="B124" s="33" t="s">
        <v>31</v>
      </c>
      <c r="C124" s="26" t="s">
        <v>2089</v>
      </c>
      <c r="D124" s="13" t="s">
        <v>531</v>
      </c>
      <c r="E124" s="20" t="s">
        <v>532</v>
      </c>
      <c r="F124" s="22">
        <v>3000</v>
      </c>
      <c r="G124" s="22">
        <v>550</v>
      </c>
      <c r="H124" s="27" t="s">
        <v>52</v>
      </c>
      <c r="I124" s="40" t="s">
        <v>42</v>
      </c>
      <c r="J124" s="28">
        <v>2015</v>
      </c>
      <c r="K124" s="29" t="s">
        <v>34</v>
      </c>
      <c r="L124" s="30" t="s">
        <v>533</v>
      </c>
      <c r="M124" s="31">
        <v>36000</v>
      </c>
      <c r="N124" s="32">
        <v>0</v>
      </c>
      <c r="O124" s="35">
        <v>36000</v>
      </c>
      <c r="P124" s="21">
        <v>0</v>
      </c>
      <c r="Q124" s="21">
        <v>0</v>
      </c>
      <c r="R124" s="23">
        <v>0</v>
      </c>
    </row>
    <row r="125" spans="1:18" ht="10.5" customHeight="1" x14ac:dyDescent="0.35">
      <c r="A125" s="24" t="s">
        <v>91</v>
      </c>
      <c r="B125" s="25" t="s">
        <v>261</v>
      </c>
      <c r="C125" s="36" t="s">
        <v>534</v>
      </c>
      <c r="D125" s="13" t="s">
        <v>535</v>
      </c>
      <c r="E125" s="20" t="s">
        <v>536</v>
      </c>
      <c r="F125" s="22">
        <v>1800</v>
      </c>
      <c r="G125" s="22">
        <v>0</v>
      </c>
      <c r="H125" s="27" t="s">
        <v>33</v>
      </c>
      <c r="I125" s="40" t="s">
        <v>42</v>
      </c>
      <c r="J125" s="28" t="s">
        <v>93</v>
      </c>
      <c r="K125" s="29" t="s">
        <v>47</v>
      </c>
      <c r="L125" s="30" t="s">
        <v>372</v>
      </c>
      <c r="M125" s="31">
        <v>40000</v>
      </c>
      <c r="N125" s="32">
        <v>0</v>
      </c>
      <c r="O125" s="21">
        <v>0</v>
      </c>
      <c r="P125" s="21">
        <v>24000</v>
      </c>
      <c r="Q125" s="21">
        <v>0</v>
      </c>
      <c r="R125" s="23">
        <v>16000</v>
      </c>
    </row>
    <row r="126" spans="1:18" ht="10.5" customHeight="1" x14ac:dyDescent="0.35">
      <c r="A126" s="24" t="s">
        <v>63</v>
      </c>
      <c r="B126" s="33" t="s">
        <v>274</v>
      </c>
      <c r="C126" s="26" t="s">
        <v>537</v>
      </c>
      <c r="D126" s="13" t="s">
        <v>538</v>
      </c>
      <c r="E126" s="20" t="s">
        <v>539</v>
      </c>
      <c r="F126" s="22">
        <v>500</v>
      </c>
      <c r="G126" s="22">
        <v>750</v>
      </c>
      <c r="H126" s="27" t="s">
        <v>52</v>
      </c>
      <c r="I126" s="40" t="s">
        <v>42</v>
      </c>
      <c r="J126" s="28" t="s">
        <v>93</v>
      </c>
      <c r="K126" s="34" t="s">
        <v>34</v>
      </c>
      <c r="L126" s="30" t="s">
        <v>540</v>
      </c>
      <c r="M126" s="31">
        <v>51000</v>
      </c>
      <c r="N126" s="32">
        <v>8000</v>
      </c>
      <c r="O126" s="35">
        <v>43000</v>
      </c>
      <c r="P126" s="21">
        <v>0</v>
      </c>
      <c r="Q126" s="21">
        <v>0</v>
      </c>
      <c r="R126" s="23">
        <v>0</v>
      </c>
    </row>
    <row r="127" spans="1:18" x14ac:dyDescent="0.35">
      <c r="A127" s="24" t="s">
        <v>48</v>
      </c>
      <c r="B127" s="33" t="s">
        <v>542</v>
      </c>
      <c r="C127" s="26" t="s">
        <v>543</v>
      </c>
      <c r="D127" s="13" t="s">
        <v>544</v>
      </c>
      <c r="E127" s="20" t="s">
        <v>545</v>
      </c>
      <c r="F127" s="22">
        <v>500</v>
      </c>
      <c r="G127" s="22">
        <v>0</v>
      </c>
      <c r="H127" s="27" t="s">
        <v>33</v>
      </c>
      <c r="I127" s="40" t="s">
        <v>42</v>
      </c>
      <c r="J127" s="28">
        <v>2016</v>
      </c>
      <c r="K127" s="29" t="s">
        <v>47</v>
      </c>
      <c r="L127" s="30" t="s">
        <v>546</v>
      </c>
      <c r="M127" s="31">
        <v>10950</v>
      </c>
      <c r="N127" s="32">
        <v>0</v>
      </c>
      <c r="O127" s="21">
        <v>0</v>
      </c>
      <c r="P127" s="21">
        <v>10950</v>
      </c>
      <c r="Q127" s="35">
        <v>0</v>
      </c>
      <c r="R127" s="23">
        <v>0</v>
      </c>
    </row>
    <row r="128" spans="1:18" x14ac:dyDescent="0.35">
      <c r="A128" s="24" t="s">
        <v>44</v>
      </c>
      <c r="B128" s="33" t="s">
        <v>54</v>
      </c>
      <c r="C128" s="26" t="s">
        <v>547</v>
      </c>
      <c r="D128" s="13" t="s">
        <v>548</v>
      </c>
      <c r="E128" s="20" t="s">
        <v>549</v>
      </c>
      <c r="F128" s="22">
        <v>244</v>
      </c>
      <c r="G128" s="22">
        <v>0</v>
      </c>
      <c r="H128" s="27" t="s">
        <v>33</v>
      </c>
      <c r="I128" s="40" t="s">
        <v>42</v>
      </c>
      <c r="J128" s="28">
        <v>2016</v>
      </c>
      <c r="K128" s="29" t="s">
        <v>34</v>
      </c>
      <c r="L128" s="30" t="s">
        <v>550</v>
      </c>
      <c r="M128" s="31">
        <v>14000</v>
      </c>
      <c r="N128" s="32">
        <v>14000</v>
      </c>
      <c r="O128" s="35">
        <v>0</v>
      </c>
      <c r="P128" s="21">
        <v>0</v>
      </c>
      <c r="Q128" s="21">
        <v>0</v>
      </c>
      <c r="R128" s="23">
        <v>0</v>
      </c>
    </row>
    <row r="129" spans="1:18" ht="10.5" customHeight="1" x14ac:dyDescent="0.35">
      <c r="A129" s="24" t="s">
        <v>35</v>
      </c>
      <c r="B129" s="33" t="s">
        <v>36</v>
      </c>
      <c r="C129" s="26" t="s">
        <v>359</v>
      </c>
      <c r="D129" s="13" t="s">
        <v>551</v>
      </c>
      <c r="E129" s="20" t="s">
        <v>552</v>
      </c>
      <c r="F129" s="22">
        <v>475</v>
      </c>
      <c r="G129" s="22">
        <v>0</v>
      </c>
      <c r="H129" s="27" t="s">
        <v>33</v>
      </c>
      <c r="I129" s="40" t="s">
        <v>42</v>
      </c>
      <c r="J129" s="28">
        <v>2014</v>
      </c>
      <c r="K129" s="34" t="s">
        <v>34</v>
      </c>
      <c r="L129" s="30" t="s">
        <v>553</v>
      </c>
      <c r="M129" s="43">
        <v>10500</v>
      </c>
      <c r="N129" s="32">
        <v>3500</v>
      </c>
      <c r="O129" s="21">
        <v>7000</v>
      </c>
      <c r="P129" s="35">
        <v>0</v>
      </c>
      <c r="Q129" s="21">
        <v>0</v>
      </c>
      <c r="R129" s="23">
        <v>0</v>
      </c>
    </row>
    <row r="130" spans="1:18" ht="10.5" customHeight="1" x14ac:dyDescent="0.35">
      <c r="A130" s="24" t="s">
        <v>30</v>
      </c>
      <c r="B130" s="33" t="s">
        <v>31</v>
      </c>
      <c r="C130" s="26" t="s">
        <v>554</v>
      </c>
      <c r="D130" s="13" t="s">
        <v>555</v>
      </c>
      <c r="E130" s="20" t="s">
        <v>556</v>
      </c>
      <c r="F130" s="22">
        <v>499</v>
      </c>
      <c r="G130" s="22">
        <v>0</v>
      </c>
      <c r="H130" s="27" t="s">
        <v>33</v>
      </c>
      <c r="I130" s="40" t="s">
        <v>42</v>
      </c>
      <c r="J130" s="28">
        <v>2014</v>
      </c>
      <c r="K130" s="34" t="s">
        <v>47</v>
      </c>
      <c r="L130" s="37" t="s">
        <v>557</v>
      </c>
      <c r="M130" s="31">
        <v>30000</v>
      </c>
      <c r="N130" s="32">
        <v>10000</v>
      </c>
      <c r="O130" s="21">
        <v>0</v>
      </c>
      <c r="P130" s="35">
        <v>0</v>
      </c>
      <c r="Q130" s="21">
        <v>0</v>
      </c>
      <c r="R130" s="23">
        <v>20000</v>
      </c>
    </row>
    <row r="131" spans="1:18" x14ac:dyDescent="0.35">
      <c r="A131" s="24" t="s">
        <v>85</v>
      </c>
      <c r="B131" s="33" t="s">
        <v>558</v>
      </c>
      <c r="C131" s="26" t="s">
        <v>559</v>
      </c>
      <c r="D131" s="13" t="s">
        <v>559</v>
      </c>
      <c r="E131" s="20" t="s">
        <v>560</v>
      </c>
      <c r="F131" s="22">
        <v>944.5</v>
      </c>
      <c r="G131" s="22">
        <v>0</v>
      </c>
      <c r="H131" s="27" t="s">
        <v>33</v>
      </c>
      <c r="I131" s="40" t="s">
        <v>42</v>
      </c>
      <c r="J131" s="28">
        <v>2011</v>
      </c>
      <c r="K131" s="29" t="s">
        <v>47</v>
      </c>
      <c r="L131" s="30" t="s">
        <v>561</v>
      </c>
      <c r="M131" s="31">
        <v>20000</v>
      </c>
      <c r="N131" s="32">
        <v>2000</v>
      </c>
      <c r="O131" s="35">
        <v>4000</v>
      </c>
      <c r="P131" s="21">
        <v>0</v>
      </c>
      <c r="Q131" s="21">
        <v>0</v>
      </c>
      <c r="R131" s="23">
        <v>14000</v>
      </c>
    </row>
    <row r="132" spans="1:18" x14ac:dyDescent="0.35">
      <c r="A132" s="24" t="s">
        <v>38</v>
      </c>
      <c r="B132" s="33" t="s">
        <v>212</v>
      </c>
      <c r="C132" s="26" t="s">
        <v>562</v>
      </c>
      <c r="D132" s="13" t="s">
        <v>563</v>
      </c>
      <c r="E132" s="20" t="s">
        <v>564</v>
      </c>
      <c r="F132" s="22">
        <v>475</v>
      </c>
      <c r="G132" s="22">
        <v>0</v>
      </c>
      <c r="H132" s="27" t="s">
        <v>33</v>
      </c>
      <c r="I132" s="40" t="s">
        <v>42</v>
      </c>
      <c r="J132" s="28">
        <v>2016</v>
      </c>
      <c r="K132" s="29" t="s">
        <v>34</v>
      </c>
      <c r="L132" s="30" t="s">
        <v>43</v>
      </c>
      <c r="M132" s="31">
        <v>10500</v>
      </c>
      <c r="N132" s="32">
        <v>3000</v>
      </c>
      <c r="O132" s="35">
        <v>7500</v>
      </c>
      <c r="P132" s="21">
        <v>0</v>
      </c>
      <c r="Q132" s="21">
        <v>0</v>
      </c>
      <c r="R132" s="23">
        <v>0</v>
      </c>
    </row>
    <row r="133" spans="1:18" x14ac:dyDescent="0.35">
      <c r="A133" s="24" t="s">
        <v>63</v>
      </c>
      <c r="B133" s="33" t="s">
        <v>382</v>
      </c>
      <c r="C133" s="26" t="s">
        <v>565</v>
      </c>
      <c r="D133" s="13" t="s">
        <v>566</v>
      </c>
      <c r="E133" s="20" t="s">
        <v>567</v>
      </c>
      <c r="F133" s="22">
        <v>469.06</v>
      </c>
      <c r="G133" s="22">
        <v>0</v>
      </c>
      <c r="H133" s="27" t="s">
        <v>33</v>
      </c>
      <c r="I133" s="40" t="s">
        <v>42</v>
      </c>
      <c r="J133" s="28">
        <v>2014</v>
      </c>
      <c r="K133" s="34" t="s">
        <v>34</v>
      </c>
      <c r="L133" s="38" t="s">
        <v>568</v>
      </c>
      <c r="M133" s="31">
        <v>13000</v>
      </c>
      <c r="N133" s="32">
        <v>8000</v>
      </c>
      <c r="O133" s="35">
        <v>0</v>
      </c>
      <c r="P133" s="21">
        <v>0</v>
      </c>
      <c r="Q133" s="21">
        <v>2500</v>
      </c>
      <c r="R133" s="23">
        <v>2500</v>
      </c>
    </row>
    <row r="134" spans="1:18" x14ac:dyDescent="0.35">
      <c r="A134" s="24" t="s">
        <v>94</v>
      </c>
      <c r="B134" s="33" t="s">
        <v>371</v>
      </c>
      <c r="C134" s="26" t="s">
        <v>262</v>
      </c>
      <c r="D134" s="13" t="s">
        <v>569</v>
      </c>
      <c r="E134" s="20" t="s">
        <v>570</v>
      </c>
      <c r="F134" s="22">
        <v>2800</v>
      </c>
      <c r="G134" s="22">
        <v>0</v>
      </c>
      <c r="H134" s="27" t="s">
        <v>33</v>
      </c>
      <c r="I134" s="40" t="s">
        <v>42</v>
      </c>
      <c r="J134" s="28">
        <v>2013</v>
      </c>
      <c r="K134" s="29" t="s">
        <v>47</v>
      </c>
      <c r="L134" s="30" t="s">
        <v>90</v>
      </c>
      <c r="M134" s="31">
        <v>35000</v>
      </c>
      <c r="N134" s="32">
        <v>0</v>
      </c>
      <c r="O134" s="21">
        <v>0</v>
      </c>
      <c r="P134" s="35">
        <v>21000</v>
      </c>
      <c r="Q134" s="21">
        <v>0</v>
      </c>
      <c r="R134" s="23">
        <v>14000</v>
      </c>
    </row>
    <row r="135" spans="1:18" x14ac:dyDescent="0.35">
      <c r="A135" s="24" t="s">
        <v>373</v>
      </c>
      <c r="B135" s="33" t="s">
        <v>374</v>
      </c>
      <c r="C135" s="26" t="s">
        <v>571</v>
      </c>
      <c r="D135" s="13" t="s">
        <v>572</v>
      </c>
      <c r="E135" s="20" t="s">
        <v>573</v>
      </c>
      <c r="F135" s="22">
        <v>80</v>
      </c>
      <c r="G135" s="22">
        <v>0</v>
      </c>
      <c r="H135" s="27" t="s">
        <v>33</v>
      </c>
      <c r="I135" s="40" t="s">
        <v>42</v>
      </c>
      <c r="J135" s="28">
        <v>2010</v>
      </c>
      <c r="K135" s="29" t="s">
        <v>34</v>
      </c>
      <c r="L135" s="30" t="s">
        <v>574</v>
      </c>
      <c r="M135" s="31">
        <v>8000</v>
      </c>
      <c r="N135" s="32">
        <v>6500</v>
      </c>
      <c r="O135" s="21">
        <v>0</v>
      </c>
      <c r="P135" s="21">
        <v>0</v>
      </c>
      <c r="Q135" s="21">
        <v>1500</v>
      </c>
      <c r="R135" s="23">
        <v>0</v>
      </c>
    </row>
    <row r="136" spans="1:18" x14ac:dyDescent="0.35">
      <c r="A136" s="24" t="s">
        <v>63</v>
      </c>
      <c r="B136" s="33" t="s">
        <v>274</v>
      </c>
      <c r="C136" s="42" t="s">
        <v>575</v>
      </c>
      <c r="D136" s="13" t="s">
        <v>576</v>
      </c>
      <c r="E136" s="20" t="s">
        <v>2160</v>
      </c>
      <c r="F136" s="22">
        <v>3800</v>
      </c>
      <c r="G136" s="22">
        <v>0</v>
      </c>
      <c r="H136" s="27" t="s">
        <v>33</v>
      </c>
      <c r="I136" s="40" t="s">
        <v>42</v>
      </c>
      <c r="J136" s="28">
        <v>2014</v>
      </c>
      <c r="K136" s="34" t="s">
        <v>47</v>
      </c>
      <c r="L136" s="37" t="s">
        <v>152</v>
      </c>
      <c r="M136" s="31">
        <v>100000</v>
      </c>
      <c r="N136" s="32">
        <v>0</v>
      </c>
      <c r="O136" s="35">
        <v>0</v>
      </c>
      <c r="P136" s="21">
        <v>100000</v>
      </c>
      <c r="Q136" s="35">
        <v>0</v>
      </c>
      <c r="R136" s="23">
        <v>0</v>
      </c>
    </row>
    <row r="137" spans="1:18" x14ac:dyDescent="0.35">
      <c r="A137" s="24" t="s">
        <v>85</v>
      </c>
      <c r="B137" s="25" t="s">
        <v>86</v>
      </c>
      <c r="C137" s="26" t="s">
        <v>577</v>
      </c>
      <c r="D137" s="13" t="s">
        <v>578</v>
      </c>
      <c r="E137" s="20" t="s">
        <v>579</v>
      </c>
      <c r="F137" s="22">
        <v>82</v>
      </c>
      <c r="G137" s="22">
        <v>0</v>
      </c>
      <c r="H137" s="27" t="s">
        <v>33</v>
      </c>
      <c r="I137" s="40" t="s">
        <v>42</v>
      </c>
      <c r="J137" s="28">
        <v>2017</v>
      </c>
      <c r="K137" s="29" t="s">
        <v>34</v>
      </c>
      <c r="L137" s="30" t="s">
        <v>522</v>
      </c>
      <c r="M137" s="31">
        <v>3500</v>
      </c>
      <c r="N137" s="32">
        <v>3500</v>
      </c>
      <c r="O137" s="21">
        <v>0</v>
      </c>
      <c r="P137" s="35">
        <v>0</v>
      </c>
      <c r="Q137" s="21">
        <v>0</v>
      </c>
      <c r="R137" s="23">
        <v>0</v>
      </c>
    </row>
    <row r="138" spans="1:18" x14ac:dyDescent="0.35">
      <c r="A138" s="24" t="s">
        <v>48</v>
      </c>
      <c r="B138" s="33" t="s">
        <v>71</v>
      </c>
      <c r="C138" s="26" t="s">
        <v>580</v>
      </c>
      <c r="D138" s="13" t="s">
        <v>581</v>
      </c>
      <c r="E138" s="20" t="s">
        <v>582</v>
      </c>
      <c r="F138" s="22">
        <v>4000</v>
      </c>
      <c r="G138" s="22">
        <v>390</v>
      </c>
      <c r="H138" s="27" t="s">
        <v>214</v>
      </c>
      <c r="I138" s="13" t="s">
        <v>42</v>
      </c>
      <c r="J138" s="28" t="s">
        <v>93</v>
      </c>
      <c r="K138" s="34" t="s">
        <v>34</v>
      </c>
      <c r="L138" s="30" t="s">
        <v>583</v>
      </c>
      <c r="M138" s="31">
        <v>29150</v>
      </c>
      <c r="N138" s="32">
        <v>22500</v>
      </c>
      <c r="O138" s="21">
        <v>0</v>
      </c>
      <c r="P138" s="21">
        <v>0</v>
      </c>
      <c r="Q138" s="21">
        <v>6650</v>
      </c>
      <c r="R138" s="23">
        <v>0</v>
      </c>
    </row>
    <row r="139" spans="1:18" x14ac:dyDescent="0.35">
      <c r="A139" s="24" t="s">
        <v>35</v>
      </c>
      <c r="B139" s="33" t="s">
        <v>425</v>
      </c>
      <c r="C139" s="26" t="s">
        <v>2053</v>
      </c>
      <c r="D139" s="13" t="s">
        <v>584</v>
      </c>
      <c r="E139" s="20" t="s">
        <v>585</v>
      </c>
      <c r="F139" s="22">
        <v>4999</v>
      </c>
      <c r="G139" s="22">
        <v>800</v>
      </c>
      <c r="H139" s="27" t="s">
        <v>52</v>
      </c>
      <c r="I139" s="40" t="s">
        <v>42</v>
      </c>
      <c r="J139" s="28">
        <v>2016</v>
      </c>
      <c r="K139" s="29" t="s">
        <v>47</v>
      </c>
      <c r="L139" s="30" t="s">
        <v>152</v>
      </c>
      <c r="M139" s="31">
        <v>150000</v>
      </c>
      <c r="N139" s="32">
        <v>0</v>
      </c>
      <c r="O139" s="21">
        <v>0</v>
      </c>
      <c r="P139" s="21">
        <v>100000</v>
      </c>
      <c r="Q139" s="21">
        <v>0</v>
      </c>
      <c r="R139" s="23">
        <v>0</v>
      </c>
    </row>
    <row r="140" spans="1:18" x14ac:dyDescent="0.35">
      <c r="A140" s="24" t="s">
        <v>44</v>
      </c>
      <c r="B140" s="33" t="s">
        <v>66</v>
      </c>
      <c r="C140" s="26" t="s">
        <v>586</v>
      </c>
      <c r="D140" s="13" t="s">
        <v>587</v>
      </c>
      <c r="E140" s="13" t="s">
        <v>588</v>
      </c>
      <c r="F140" s="22">
        <v>500</v>
      </c>
      <c r="G140" s="22">
        <v>0</v>
      </c>
      <c r="H140" s="27" t="s">
        <v>33</v>
      </c>
      <c r="I140" s="13" t="s">
        <v>42</v>
      </c>
      <c r="J140" s="28">
        <v>2016</v>
      </c>
      <c r="K140" s="34" t="s">
        <v>34</v>
      </c>
      <c r="L140" s="30" t="s">
        <v>110</v>
      </c>
      <c r="M140" s="31">
        <v>25000</v>
      </c>
      <c r="N140" s="32">
        <v>15000</v>
      </c>
      <c r="O140" s="35">
        <v>10000</v>
      </c>
      <c r="P140" s="21">
        <v>0</v>
      </c>
      <c r="Q140" s="21">
        <v>0</v>
      </c>
      <c r="R140" s="23">
        <v>0</v>
      </c>
    </row>
    <row r="141" spans="1:18" x14ac:dyDescent="0.35">
      <c r="A141" s="24" t="s">
        <v>85</v>
      </c>
      <c r="B141" s="33" t="s">
        <v>86</v>
      </c>
      <c r="C141" s="26" t="s">
        <v>589</v>
      </c>
      <c r="D141" s="13" t="s">
        <v>590</v>
      </c>
      <c r="E141" s="20" t="s">
        <v>591</v>
      </c>
      <c r="F141" s="22">
        <v>123</v>
      </c>
      <c r="G141" s="22">
        <v>0</v>
      </c>
      <c r="H141" s="27" t="s">
        <v>33</v>
      </c>
      <c r="I141" s="40" t="s">
        <v>42</v>
      </c>
      <c r="J141" s="28">
        <v>2017</v>
      </c>
      <c r="K141" s="29" t="s">
        <v>34</v>
      </c>
      <c r="L141" s="30" t="s">
        <v>156</v>
      </c>
      <c r="M141" s="31">
        <v>5000</v>
      </c>
      <c r="N141" s="32">
        <v>3500</v>
      </c>
      <c r="O141" s="21">
        <v>1500</v>
      </c>
      <c r="P141" s="35">
        <v>0</v>
      </c>
      <c r="Q141" s="21">
        <v>0</v>
      </c>
      <c r="R141" s="23">
        <v>0</v>
      </c>
    </row>
    <row r="142" spans="1:18" ht="10.5" customHeight="1" x14ac:dyDescent="0.35">
      <c r="A142" s="24" t="s">
        <v>63</v>
      </c>
      <c r="B142" s="33" t="s">
        <v>382</v>
      </c>
      <c r="C142" s="26" t="s">
        <v>524</v>
      </c>
      <c r="D142" s="13" t="s">
        <v>2113</v>
      </c>
      <c r="E142" s="20" t="s">
        <v>910</v>
      </c>
      <c r="F142" s="22">
        <v>500</v>
      </c>
      <c r="G142" s="22">
        <v>560</v>
      </c>
      <c r="H142" s="27" t="s">
        <v>52</v>
      </c>
      <c r="I142" s="40" t="s">
        <v>42</v>
      </c>
      <c r="J142" s="28">
        <v>2015</v>
      </c>
      <c r="K142" s="29" t="s">
        <v>34</v>
      </c>
      <c r="L142" s="30" t="s">
        <v>911</v>
      </c>
      <c r="M142" s="31">
        <v>66090</v>
      </c>
      <c r="N142" s="32">
        <v>7500</v>
      </c>
      <c r="O142" s="21">
        <v>58590</v>
      </c>
      <c r="P142" s="35">
        <v>0</v>
      </c>
      <c r="Q142" s="21">
        <v>0</v>
      </c>
      <c r="R142" s="23">
        <v>0</v>
      </c>
    </row>
    <row r="143" spans="1:18" ht="10.5" customHeight="1" x14ac:dyDescent="0.35">
      <c r="A143" s="24" t="s">
        <v>373</v>
      </c>
      <c r="B143" s="33" t="s">
        <v>594</v>
      </c>
      <c r="C143" s="26" t="s">
        <v>595</v>
      </c>
      <c r="D143" s="13" t="s">
        <v>596</v>
      </c>
      <c r="E143" s="13" t="s">
        <v>597</v>
      </c>
      <c r="F143" s="22">
        <v>176</v>
      </c>
      <c r="G143" s="22">
        <v>0</v>
      </c>
      <c r="H143" s="27" t="s">
        <v>33</v>
      </c>
      <c r="I143" s="40" t="s">
        <v>42</v>
      </c>
      <c r="J143" s="28">
        <v>2017</v>
      </c>
      <c r="K143" s="34" t="s">
        <v>34</v>
      </c>
      <c r="L143" s="30" t="s">
        <v>598</v>
      </c>
      <c r="M143" s="31">
        <v>6000</v>
      </c>
      <c r="N143" s="32">
        <v>0</v>
      </c>
      <c r="O143" s="21">
        <v>6000</v>
      </c>
      <c r="P143" s="35">
        <v>0</v>
      </c>
      <c r="Q143" s="21">
        <v>0</v>
      </c>
      <c r="R143" s="23">
        <v>0</v>
      </c>
    </row>
    <row r="144" spans="1:18" x14ac:dyDescent="0.35">
      <c r="A144" s="24" t="s">
        <v>373</v>
      </c>
      <c r="B144" s="33" t="s">
        <v>594</v>
      </c>
      <c r="C144" s="26" t="s">
        <v>2075</v>
      </c>
      <c r="D144" s="13" t="s">
        <v>2117</v>
      </c>
      <c r="E144" s="20" t="s">
        <v>1634</v>
      </c>
      <c r="F144" s="22">
        <v>992</v>
      </c>
      <c r="G144" s="22">
        <v>0</v>
      </c>
      <c r="H144" s="27" t="s">
        <v>33</v>
      </c>
      <c r="I144" s="40" t="s">
        <v>42</v>
      </c>
      <c r="J144" s="28">
        <v>2014</v>
      </c>
      <c r="K144" s="29" t="s">
        <v>34</v>
      </c>
      <c r="L144" s="30" t="s">
        <v>1635</v>
      </c>
      <c r="M144" s="31">
        <v>20000</v>
      </c>
      <c r="N144" s="32">
        <v>0</v>
      </c>
      <c r="O144" s="21">
        <v>20000</v>
      </c>
      <c r="P144" s="35">
        <v>0</v>
      </c>
      <c r="Q144" s="21">
        <v>0</v>
      </c>
      <c r="R144" s="23">
        <v>0</v>
      </c>
    </row>
    <row r="145" spans="1:18" x14ac:dyDescent="0.35">
      <c r="A145" s="24" t="s">
        <v>100</v>
      </c>
      <c r="B145" s="33" t="s">
        <v>101</v>
      </c>
      <c r="C145" s="26" t="s">
        <v>599</v>
      </c>
      <c r="D145" s="13" t="s">
        <v>600</v>
      </c>
      <c r="E145" s="20" t="s">
        <v>601</v>
      </c>
      <c r="F145" s="22">
        <v>485.4</v>
      </c>
      <c r="G145" s="22">
        <v>0</v>
      </c>
      <c r="H145" s="27" t="s">
        <v>33</v>
      </c>
      <c r="I145" s="40" t="s">
        <v>42</v>
      </c>
      <c r="J145" s="28">
        <v>2016</v>
      </c>
      <c r="K145" s="34" t="s">
        <v>34</v>
      </c>
      <c r="L145" s="30" t="s">
        <v>602</v>
      </c>
      <c r="M145" s="31">
        <v>52195</v>
      </c>
      <c r="N145" s="32">
        <v>52195</v>
      </c>
      <c r="O145" s="21">
        <v>0</v>
      </c>
      <c r="P145" s="35">
        <v>0</v>
      </c>
      <c r="Q145" s="21">
        <v>0</v>
      </c>
      <c r="R145" s="23">
        <v>0</v>
      </c>
    </row>
    <row r="146" spans="1:18" ht="10.5" customHeight="1" x14ac:dyDescent="0.35">
      <c r="A146" s="24" t="s">
        <v>48</v>
      </c>
      <c r="B146" s="25" t="s">
        <v>210</v>
      </c>
      <c r="C146" s="36" t="s">
        <v>603</v>
      </c>
      <c r="D146" s="13" t="s">
        <v>604</v>
      </c>
      <c r="E146" s="13" t="s">
        <v>605</v>
      </c>
      <c r="F146" s="22">
        <v>170</v>
      </c>
      <c r="G146" s="22">
        <v>0</v>
      </c>
      <c r="H146" s="27" t="s">
        <v>33</v>
      </c>
      <c r="I146" s="40" t="s">
        <v>42</v>
      </c>
      <c r="J146" s="28">
        <v>2010</v>
      </c>
      <c r="K146" s="34" t="s">
        <v>34</v>
      </c>
      <c r="L146" s="30" t="s">
        <v>606</v>
      </c>
      <c r="M146" s="31">
        <v>5000</v>
      </c>
      <c r="N146" s="32">
        <v>2000</v>
      </c>
      <c r="O146" s="21">
        <v>2000</v>
      </c>
      <c r="P146" s="35">
        <v>0</v>
      </c>
      <c r="Q146" s="21">
        <v>0</v>
      </c>
      <c r="R146" s="23">
        <v>1000</v>
      </c>
    </row>
    <row r="147" spans="1:18" ht="10.5" customHeight="1" x14ac:dyDescent="0.35">
      <c r="A147" s="24" t="s">
        <v>48</v>
      </c>
      <c r="B147" s="25" t="s">
        <v>210</v>
      </c>
      <c r="C147" s="26" t="s">
        <v>2054</v>
      </c>
      <c r="D147" s="13" t="s">
        <v>2102</v>
      </c>
      <c r="E147" s="20" t="s">
        <v>998</v>
      </c>
      <c r="F147" s="22">
        <v>250</v>
      </c>
      <c r="G147" s="22">
        <v>550</v>
      </c>
      <c r="H147" s="27" t="s">
        <v>52</v>
      </c>
      <c r="I147" s="40" t="s">
        <v>42</v>
      </c>
      <c r="J147" s="28">
        <v>2015</v>
      </c>
      <c r="K147" s="29" t="s">
        <v>34</v>
      </c>
      <c r="L147" s="30" t="s">
        <v>999</v>
      </c>
      <c r="M147" s="31">
        <v>40000</v>
      </c>
      <c r="N147" s="32">
        <v>9000</v>
      </c>
      <c r="O147" s="21">
        <v>31000</v>
      </c>
      <c r="P147" s="35">
        <v>0</v>
      </c>
      <c r="Q147" s="21">
        <v>0</v>
      </c>
      <c r="R147" s="23">
        <v>0</v>
      </c>
    </row>
    <row r="148" spans="1:18" x14ac:dyDescent="0.35">
      <c r="A148" s="24" t="s">
        <v>44</v>
      </c>
      <c r="B148" s="33" t="s">
        <v>54</v>
      </c>
      <c r="C148" s="26" t="s">
        <v>607</v>
      </c>
      <c r="D148" s="13" t="s">
        <v>608</v>
      </c>
      <c r="E148" s="20" t="s">
        <v>609</v>
      </c>
      <c r="F148" s="22">
        <v>180</v>
      </c>
      <c r="G148" s="22">
        <v>0</v>
      </c>
      <c r="H148" s="27" t="s">
        <v>33</v>
      </c>
      <c r="I148" s="40" t="s">
        <v>42</v>
      </c>
      <c r="J148" s="28">
        <v>2015</v>
      </c>
      <c r="K148" s="34" t="s">
        <v>34</v>
      </c>
      <c r="L148" s="30" t="s">
        <v>161</v>
      </c>
      <c r="M148" s="31">
        <v>8800</v>
      </c>
      <c r="N148" s="32">
        <v>2200</v>
      </c>
      <c r="O148" s="21">
        <v>6600</v>
      </c>
      <c r="P148" s="35">
        <v>0</v>
      </c>
      <c r="Q148" s="21">
        <v>0</v>
      </c>
      <c r="R148" s="23">
        <v>0</v>
      </c>
    </row>
    <row r="149" spans="1:18" x14ac:dyDescent="0.35">
      <c r="A149" s="24" t="s">
        <v>48</v>
      </c>
      <c r="B149" s="33" t="s">
        <v>210</v>
      </c>
      <c r="C149" s="26" t="s">
        <v>1709</v>
      </c>
      <c r="D149" s="13" t="s">
        <v>2108</v>
      </c>
      <c r="E149" s="20" t="s">
        <v>1710</v>
      </c>
      <c r="F149" s="22">
        <v>1400</v>
      </c>
      <c r="G149" s="22">
        <v>0</v>
      </c>
      <c r="H149" s="27" t="s">
        <v>33</v>
      </c>
      <c r="I149" s="40" t="s">
        <v>42</v>
      </c>
      <c r="J149" s="28">
        <v>2011</v>
      </c>
      <c r="K149" s="29" t="s">
        <v>34</v>
      </c>
      <c r="L149" s="30" t="s">
        <v>2178</v>
      </c>
      <c r="M149" s="31">
        <v>25000</v>
      </c>
      <c r="N149" s="32">
        <v>0</v>
      </c>
      <c r="O149" s="35">
        <v>25000</v>
      </c>
      <c r="P149" s="21">
        <v>0</v>
      </c>
      <c r="Q149" s="21">
        <v>0</v>
      </c>
      <c r="R149" s="23">
        <v>0</v>
      </c>
    </row>
    <row r="150" spans="1:18" x14ac:dyDescent="0.35">
      <c r="A150" s="24" t="s">
        <v>30</v>
      </c>
      <c r="B150" s="25" t="s">
        <v>80</v>
      </c>
      <c r="C150" s="36" t="s">
        <v>613</v>
      </c>
      <c r="D150" s="13" t="s">
        <v>613</v>
      </c>
      <c r="E150" s="20" t="s">
        <v>614</v>
      </c>
      <c r="F150" s="22">
        <v>0</v>
      </c>
      <c r="G150" s="22">
        <v>0</v>
      </c>
      <c r="H150" s="27" t="s">
        <v>615</v>
      </c>
      <c r="I150" s="40" t="s">
        <v>42</v>
      </c>
      <c r="J150" s="28">
        <v>2004</v>
      </c>
      <c r="K150" s="29" t="s">
        <v>34</v>
      </c>
      <c r="L150" s="30" t="s">
        <v>616</v>
      </c>
      <c r="M150" s="31">
        <v>80</v>
      </c>
      <c r="N150" s="32">
        <v>80</v>
      </c>
      <c r="O150" s="21">
        <v>0</v>
      </c>
      <c r="P150" s="21">
        <v>0</v>
      </c>
      <c r="Q150" s="21">
        <v>0</v>
      </c>
      <c r="R150" s="23">
        <v>0</v>
      </c>
    </row>
    <row r="151" spans="1:18" x14ac:dyDescent="0.35">
      <c r="A151" s="24" t="s">
        <v>48</v>
      </c>
      <c r="B151" s="33" t="s">
        <v>210</v>
      </c>
      <c r="C151" s="26" t="s">
        <v>258</v>
      </c>
      <c r="D151" s="13" t="s">
        <v>617</v>
      </c>
      <c r="E151" s="20" t="s">
        <v>618</v>
      </c>
      <c r="F151" s="22">
        <v>475</v>
      </c>
      <c r="G151" s="22">
        <v>700.15000000000009</v>
      </c>
      <c r="H151" s="27" t="s">
        <v>52</v>
      </c>
      <c r="I151" s="40" t="s">
        <v>42</v>
      </c>
      <c r="J151" s="28">
        <v>2014</v>
      </c>
      <c r="K151" s="34" t="s">
        <v>34</v>
      </c>
      <c r="L151" s="30" t="s">
        <v>65</v>
      </c>
      <c r="M151" s="31">
        <v>12000</v>
      </c>
      <c r="N151" s="32">
        <v>5500</v>
      </c>
      <c r="O151" s="35">
        <v>6500</v>
      </c>
      <c r="P151" s="21">
        <v>0</v>
      </c>
      <c r="Q151" s="21">
        <v>0</v>
      </c>
      <c r="R151" s="23">
        <v>0</v>
      </c>
    </row>
    <row r="152" spans="1:18" x14ac:dyDescent="0.35">
      <c r="A152" s="24" t="s">
        <v>38</v>
      </c>
      <c r="B152" s="33" t="s">
        <v>212</v>
      </c>
      <c r="C152" s="26" t="s">
        <v>619</v>
      </c>
      <c r="D152" s="13" t="s">
        <v>620</v>
      </c>
      <c r="E152" s="13" t="s">
        <v>402</v>
      </c>
      <c r="F152" s="35">
        <v>52</v>
      </c>
      <c r="G152" s="22">
        <v>0</v>
      </c>
      <c r="H152" s="27" t="s">
        <v>33</v>
      </c>
      <c r="I152" s="40" t="s">
        <v>42</v>
      </c>
      <c r="J152" s="28">
        <v>2017</v>
      </c>
      <c r="K152" s="29" t="s">
        <v>34</v>
      </c>
      <c r="L152" s="30" t="s">
        <v>522</v>
      </c>
      <c r="M152" s="31">
        <v>3000</v>
      </c>
      <c r="N152" s="32">
        <v>3000</v>
      </c>
      <c r="O152" s="35">
        <v>0</v>
      </c>
      <c r="P152" s="21">
        <v>0</v>
      </c>
      <c r="Q152" s="21">
        <v>0</v>
      </c>
      <c r="R152" s="23">
        <v>0</v>
      </c>
    </row>
    <row r="153" spans="1:18" x14ac:dyDescent="0.35">
      <c r="A153" s="24" t="s">
        <v>38</v>
      </c>
      <c r="B153" s="33" t="s">
        <v>171</v>
      </c>
      <c r="C153" s="42" t="s">
        <v>621</v>
      </c>
      <c r="D153" s="13" t="s">
        <v>622</v>
      </c>
      <c r="E153" s="13" t="s">
        <v>623</v>
      </c>
      <c r="F153" s="35">
        <v>1554</v>
      </c>
      <c r="G153" s="27">
        <v>550</v>
      </c>
      <c r="H153" s="27" t="s">
        <v>52</v>
      </c>
      <c r="I153" s="40" t="s">
        <v>42</v>
      </c>
      <c r="J153" s="28">
        <v>2011</v>
      </c>
      <c r="K153" s="29" t="s">
        <v>34</v>
      </c>
      <c r="L153" s="30" t="s">
        <v>624</v>
      </c>
      <c r="M153" s="31">
        <v>32100</v>
      </c>
      <c r="N153" s="32">
        <v>8500</v>
      </c>
      <c r="O153" s="21">
        <v>3600</v>
      </c>
      <c r="P153" s="21">
        <v>0</v>
      </c>
      <c r="Q153" s="21">
        <v>20000</v>
      </c>
      <c r="R153" s="23">
        <v>0</v>
      </c>
    </row>
    <row r="154" spans="1:18" x14ac:dyDescent="0.35">
      <c r="A154" s="24" t="s">
        <v>91</v>
      </c>
      <c r="B154" s="33" t="s">
        <v>295</v>
      </c>
      <c r="C154" s="26" t="s">
        <v>625</v>
      </c>
      <c r="D154" s="13" t="s">
        <v>626</v>
      </c>
      <c r="E154" s="13" t="s">
        <v>627</v>
      </c>
      <c r="F154" s="22">
        <v>499</v>
      </c>
      <c r="G154" s="22">
        <v>0</v>
      </c>
      <c r="H154" s="27" t="s">
        <v>52</v>
      </c>
      <c r="I154" s="40" t="s">
        <v>42</v>
      </c>
      <c r="J154" s="28">
        <v>2020</v>
      </c>
      <c r="K154" s="34" t="s">
        <v>34</v>
      </c>
      <c r="L154" s="30" t="s">
        <v>628</v>
      </c>
      <c r="M154" s="31">
        <v>37000</v>
      </c>
      <c r="N154" s="32">
        <v>14000</v>
      </c>
      <c r="O154" s="21">
        <v>11000</v>
      </c>
      <c r="P154" s="21">
        <v>0</v>
      </c>
      <c r="Q154" s="21">
        <v>10000</v>
      </c>
      <c r="R154" s="23">
        <v>2000</v>
      </c>
    </row>
    <row r="155" spans="1:18" x14ac:dyDescent="0.35">
      <c r="A155" s="24" t="s">
        <v>48</v>
      </c>
      <c r="B155" s="33" t="s">
        <v>75</v>
      </c>
      <c r="C155" s="26" t="s">
        <v>2066</v>
      </c>
      <c r="D155" s="13" t="s">
        <v>629</v>
      </c>
      <c r="E155" s="20" t="s">
        <v>630</v>
      </c>
      <c r="F155" s="22">
        <v>4380</v>
      </c>
      <c r="G155" s="22">
        <v>0</v>
      </c>
      <c r="H155" s="27" t="s">
        <v>33</v>
      </c>
      <c r="I155" s="40" t="s">
        <v>42</v>
      </c>
      <c r="J155" s="28">
        <v>2015</v>
      </c>
      <c r="K155" s="29" t="s">
        <v>47</v>
      </c>
      <c r="L155" s="30" t="s">
        <v>372</v>
      </c>
      <c r="M155" s="31">
        <v>107000</v>
      </c>
      <c r="N155" s="32">
        <v>0</v>
      </c>
      <c r="O155" s="35">
        <v>0</v>
      </c>
      <c r="P155" s="21">
        <v>64000</v>
      </c>
      <c r="Q155" s="35">
        <v>0</v>
      </c>
      <c r="R155" s="23">
        <v>43000</v>
      </c>
    </row>
    <row r="156" spans="1:18" x14ac:dyDescent="0.35">
      <c r="A156" s="24" t="s">
        <v>373</v>
      </c>
      <c r="B156" s="33" t="s">
        <v>374</v>
      </c>
      <c r="C156" s="26" t="s">
        <v>2090</v>
      </c>
      <c r="D156" s="13" t="s">
        <v>2132</v>
      </c>
      <c r="E156" s="13" t="s">
        <v>2173</v>
      </c>
      <c r="F156" s="22" t="s">
        <v>93</v>
      </c>
      <c r="G156" s="22" t="s">
        <v>93</v>
      </c>
      <c r="H156" s="27" t="s">
        <v>52</v>
      </c>
      <c r="I156" s="40" t="s">
        <v>42</v>
      </c>
      <c r="J156" s="28">
        <v>2023</v>
      </c>
      <c r="K156" s="29" t="s">
        <v>47</v>
      </c>
      <c r="L156" s="30" t="s">
        <v>2182</v>
      </c>
      <c r="M156" s="31">
        <v>0</v>
      </c>
      <c r="N156" s="32">
        <v>0</v>
      </c>
      <c r="O156" s="35">
        <v>0</v>
      </c>
      <c r="P156" s="21">
        <v>0</v>
      </c>
      <c r="Q156" s="21">
        <v>0</v>
      </c>
      <c r="R156" s="23">
        <v>0</v>
      </c>
    </row>
    <row r="157" spans="1:18" x14ac:dyDescent="0.35">
      <c r="A157" s="24" t="s">
        <v>48</v>
      </c>
      <c r="B157" s="33" t="s">
        <v>542</v>
      </c>
      <c r="C157" s="26" t="s">
        <v>631</v>
      </c>
      <c r="D157" s="13" t="s">
        <v>631</v>
      </c>
      <c r="E157" s="20" t="s">
        <v>632</v>
      </c>
      <c r="F157" s="22">
        <v>10</v>
      </c>
      <c r="G157" s="22">
        <v>0</v>
      </c>
      <c r="H157" s="27" t="s">
        <v>33</v>
      </c>
      <c r="I157" s="40" t="s">
        <v>42</v>
      </c>
      <c r="J157" s="28">
        <v>2014</v>
      </c>
      <c r="K157" s="29" t="s">
        <v>47</v>
      </c>
      <c r="L157" s="30" t="s">
        <v>152</v>
      </c>
      <c r="M157" s="31">
        <v>10</v>
      </c>
      <c r="N157" s="32">
        <v>0</v>
      </c>
      <c r="O157" s="21">
        <v>0</v>
      </c>
      <c r="P157" s="35">
        <v>10</v>
      </c>
      <c r="Q157" s="21">
        <v>0</v>
      </c>
      <c r="R157" s="23">
        <v>0</v>
      </c>
    </row>
    <row r="158" spans="1:18" x14ac:dyDescent="0.35">
      <c r="A158" s="24" t="s">
        <v>44</v>
      </c>
      <c r="B158" s="33" t="s">
        <v>45</v>
      </c>
      <c r="C158" s="26" t="s">
        <v>633</v>
      </c>
      <c r="D158" s="13" t="s">
        <v>633</v>
      </c>
      <c r="E158" s="20" t="s">
        <v>634</v>
      </c>
      <c r="F158" s="22">
        <v>500</v>
      </c>
      <c r="G158" s="22">
        <v>0</v>
      </c>
      <c r="H158" s="27" t="s">
        <v>33</v>
      </c>
      <c r="I158" s="40" t="s">
        <v>42</v>
      </c>
      <c r="J158" s="28">
        <v>2017</v>
      </c>
      <c r="K158" s="29" t="s">
        <v>34</v>
      </c>
      <c r="L158" s="30" t="s">
        <v>635</v>
      </c>
      <c r="M158" s="31">
        <v>15300</v>
      </c>
      <c r="N158" s="32">
        <v>4000</v>
      </c>
      <c r="O158" s="21">
        <v>11300</v>
      </c>
      <c r="P158" s="21">
        <v>0</v>
      </c>
      <c r="Q158" s="21">
        <v>0</v>
      </c>
      <c r="R158" s="23">
        <v>0</v>
      </c>
    </row>
    <row r="159" spans="1:18" x14ac:dyDescent="0.35">
      <c r="A159" s="24" t="s">
        <v>44</v>
      </c>
      <c r="B159" s="33" t="s">
        <v>45</v>
      </c>
      <c r="C159" s="26" t="s">
        <v>636</v>
      </c>
      <c r="D159" s="13" t="s">
        <v>637</v>
      </c>
      <c r="E159" s="20" t="s">
        <v>638</v>
      </c>
      <c r="F159" s="22">
        <v>250</v>
      </c>
      <c r="G159" s="22">
        <v>0</v>
      </c>
      <c r="H159" s="27" t="s">
        <v>33</v>
      </c>
      <c r="I159" s="13" t="s">
        <v>42</v>
      </c>
      <c r="J159" s="28" t="s">
        <v>93</v>
      </c>
      <c r="K159" s="29" t="s">
        <v>47</v>
      </c>
      <c r="L159" s="30" t="s">
        <v>90</v>
      </c>
      <c r="M159" s="31">
        <v>10000</v>
      </c>
      <c r="N159" s="32">
        <v>0</v>
      </c>
      <c r="O159" s="21">
        <v>0</v>
      </c>
      <c r="P159" s="35">
        <v>6000</v>
      </c>
      <c r="Q159" s="21">
        <v>0</v>
      </c>
      <c r="R159" s="23">
        <v>4000</v>
      </c>
    </row>
    <row r="160" spans="1:18" x14ac:dyDescent="0.35">
      <c r="A160" s="24" t="s">
        <v>91</v>
      </c>
      <c r="B160" s="33" t="s">
        <v>92</v>
      </c>
      <c r="C160" s="26" t="s">
        <v>639</v>
      </c>
      <c r="D160" s="13" t="s">
        <v>640</v>
      </c>
      <c r="E160" s="20" t="s">
        <v>641</v>
      </c>
      <c r="F160" s="22">
        <v>6</v>
      </c>
      <c r="G160" s="22">
        <v>0</v>
      </c>
      <c r="H160" s="27" t="s">
        <v>33</v>
      </c>
      <c r="I160" s="40" t="s">
        <v>42</v>
      </c>
      <c r="J160" s="28">
        <v>2013</v>
      </c>
      <c r="K160" s="34" t="s">
        <v>34</v>
      </c>
      <c r="L160" s="30" t="s">
        <v>642</v>
      </c>
      <c r="M160" s="31">
        <v>185</v>
      </c>
      <c r="N160" s="32">
        <v>100</v>
      </c>
      <c r="O160" s="21">
        <v>0</v>
      </c>
      <c r="P160" s="35">
        <v>0</v>
      </c>
      <c r="Q160" s="21">
        <v>0</v>
      </c>
      <c r="R160" s="23">
        <v>85</v>
      </c>
    </row>
    <row r="161" spans="1:18" x14ac:dyDescent="0.35">
      <c r="A161" s="24" t="s">
        <v>30</v>
      </c>
      <c r="B161" s="25" t="s">
        <v>80</v>
      </c>
      <c r="C161" s="26" t="s">
        <v>333</v>
      </c>
      <c r="D161" s="13" t="s">
        <v>643</v>
      </c>
      <c r="E161" s="20" t="s">
        <v>644</v>
      </c>
      <c r="F161" s="22">
        <v>8000</v>
      </c>
      <c r="G161" s="22">
        <v>440</v>
      </c>
      <c r="H161" s="27" t="s">
        <v>52</v>
      </c>
      <c r="I161" s="40" t="s">
        <v>42</v>
      </c>
      <c r="J161" s="28">
        <v>2019</v>
      </c>
      <c r="K161" s="29" t="s">
        <v>34</v>
      </c>
      <c r="L161" s="30" t="s">
        <v>645</v>
      </c>
      <c r="M161" s="31">
        <v>100000</v>
      </c>
      <c r="N161" s="32">
        <v>0</v>
      </c>
      <c r="O161" s="21">
        <v>0</v>
      </c>
      <c r="P161" s="35">
        <v>0</v>
      </c>
      <c r="Q161" s="21">
        <v>0</v>
      </c>
      <c r="R161" s="23">
        <v>0</v>
      </c>
    </row>
    <row r="162" spans="1:18" x14ac:dyDescent="0.35">
      <c r="A162" s="24" t="s">
        <v>35</v>
      </c>
      <c r="B162" s="33" t="s">
        <v>408</v>
      </c>
      <c r="C162" s="26" t="s">
        <v>646</v>
      </c>
      <c r="D162" s="13" t="s">
        <v>647</v>
      </c>
      <c r="E162" s="20" t="s">
        <v>648</v>
      </c>
      <c r="F162" s="22">
        <v>1500</v>
      </c>
      <c r="G162" s="22">
        <v>800</v>
      </c>
      <c r="H162" s="27" t="s">
        <v>52</v>
      </c>
      <c r="I162" s="40" t="s">
        <v>42</v>
      </c>
      <c r="J162" s="28">
        <v>2022</v>
      </c>
      <c r="K162" s="29" t="s">
        <v>47</v>
      </c>
      <c r="L162" s="30" t="s">
        <v>649</v>
      </c>
      <c r="M162" s="31">
        <v>41250</v>
      </c>
      <c r="N162" s="32">
        <v>1500</v>
      </c>
      <c r="O162" s="21">
        <v>0</v>
      </c>
      <c r="P162" s="21">
        <v>10600</v>
      </c>
      <c r="Q162" s="21">
        <v>24000</v>
      </c>
      <c r="R162" s="23">
        <v>0</v>
      </c>
    </row>
    <row r="163" spans="1:18" x14ac:dyDescent="0.35">
      <c r="A163" s="24" t="s">
        <v>94</v>
      </c>
      <c r="B163" s="33" t="s">
        <v>123</v>
      </c>
      <c r="C163" s="26" t="s">
        <v>650</v>
      </c>
      <c r="D163" s="13" t="s">
        <v>650</v>
      </c>
      <c r="E163" s="20" t="s">
        <v>651</v>
      </c>
      <c r="F163" s="22">
        <v>105</v>
      </c>
      <c r="G163" s="22">
        <v>0</v>
      </c>
      <c r="H163" s="27" t="s">
        <v>33</v>
      </c>
      <c r="I163" s="40" t="s">
        <v>42</v>
      </c>
      <c r="J163" s="28">
        <v>2015</v>
      </c>
      <c r="K163" s="29" t="s">
        <v>34</v>
      </c>
      <c r="L163" s="30" t="s">
        <v>58</v>
      </c>
      <c r="M163" s="31">
        <v>2000</v>
      </c>
      <c r="N163" s="32">
        <v>2000</v>
      </c>
      <c r="O163" s="21">
        <v>0</v>
      </c>
      <c r="P163" s="35">
        <v>0</v>
      </c>
      <c r="Q163" s="21">
        <v>0</v>
      </c>
      <c r="R163" s="23">
        <v>0</v>
      </c>
    </row>
    <row r="164" spans="1:18" x14ac:dyDescent="0.35">
      <c r="A164" s="24" t="s">
        <v>44</v>
      </c>
      <c r="B164" s="33" t="s">
        <v>45</v>
      </c>
      <c r="C164" s="26" t="s">
        <v>652</v>
      </c>
      <c r="D164" s="13" t="s">
        <v>653</v>
      </c>
      <c r="E164" s="20" t="s">
        <v>654</v>
      </c>
      <c r="F164" s="22">
        <v>500</v>
      </c>
      <c r="G164" s="22">
        <v>0</v>
      </c>
      <c r="H164" s="27" t="s">
        <v>33</v>
      </c>
      <c r="I164" s="40" t="s">
        <v>42</v>
      </c>
      <c r="J164" s="28">
        <v>2014</v>
      </c>
      <c r="K164" s="34" t="s">
        <v>34</v>
      </c>
      <c r="L164" s="30" t="s">
        <v>161</v>
      </c>
      <c r="M164" s="31">
        <v>11750</v>
      </c>
      <c r="N164" s="32">
        <v>5000</v>
      </c>
      <c r="O164" s="21">
        <v>6750</v>
      </c>
      <c r="P164" s="21">
        <v>0</v>
      </c>
      <c r="Q164" s="21">
        <v>0</v>
      </c>
      <c r="R164" s="23">
        <v>0</v>
      </c>
    </row>
    <row r="165" spans="1:18" x14ac:dyDescent="0.35">
      <c r="A165" s="24" t="s">
        <v>30</v>
      </c>
      <c r="B165" s="33" t="s">
        <v>80</v>
      </c>
      <c r="C165" s="26" t="s">
        <v>656</v>
      </c>
      <c r="D165" s="13" t="s">
        <v>657</v>
      </c>
      <c r="E165" s="20" t="s">
        <v>658</v>
      </c>
      <c r="F165" s="22">
        <v>3600</v>
      </c>
      <c r="G165" s="22">
        <v>495.00000000000006</v>
      </c>
      <c r="H165" s="27" t="s">
        <v>52</v>
      </c>
      <c r="I165" s="40" t="s">
        <v>42</v>
      </c>
      <c r="J165" s="28">
        <v>2011</v>
      </c>
      <c r="K165" s="29" t="s">
        <v>47</v>
      </c>
      <c r="L165" s="30" t="s">
        <v>372</v>
      </c>
      <c r="M165" s="31">
        <v>120000</v>
      </c>
      <c r="N165" s="32">
        <v>0</v>
      </c>
      <c r="O165" s="35">
        <v>0</v>
      </c>
      <c r="P165" s="21">
        <v>80000</v>
      </c>
      <c r="Q165" s="21">
        <v>0</v>
      </c>
      <c r="R165" s="23">
        <v>40000</v>
      </c>
    </row>
    <row r="166" spans="1:18" x14ac:dyDescent="0.35">
      <c r="A166" s="24" t="s">
        <v>44</v>
      </c>
      <c r="B166" s="33" t="s">
        <v>106</v>
      </c>
      <c r="C166" s="26" t="s">
        <v>659</v>
      </c>
      <c r="D166" s="13" t="s">
        <v>660</v>
      </c>
      <c r="E166" s="20" t="s">
        <v>661</v>
      </c>
      <c r="F166" s="22">
        <v>500</v>
      </c>
      <c r="G166" s="22">
        <v>0</v>
      </c>
      <c r="H166" s="27" t="s">
        <v>33</v>
      </c>
      <c r="I166" s="40" t="s">
        <v>42</v>
      </c>
      <c r="J166" s="28">
        <v>2016</v>
      </c>
      <c r="K166" s="29" t="s">
        <v>34</v>
      </c>
      <c r="L166" s="30" t="s">
        <v>173</v>
      </c>
      <c r="M166" s="31">
        <v>15300</v>
      </c>
      <c r="N166" s="32">
        <v>4000</v>
      </c>
      <c r="O166" s="35">
        <v>11300</v>
      </c>
      <c r="P166" s="21">
        <v>0</v>
      </c>
      <c r="Q166" s="21">
        <v>0</v>
      </c>
      <c r="R166" s="23">
        <v>0</v>
      </c>
    </row>
    <row r="167" spans="1:18" x14ac:dyDescent="0.35">
      <c r="A167" s="24" t="s">
        <v>30</v>
      </c>
      <c r="B167" s="33" t="s">
        <v>662</v>
      </c>
      <c r="C167" s="26" t="s">
        <v>458</v>
      </c>
      <c r="D167" s="13" t="s">
        <v>663</v>
      </c>
      <c r="E167" s="20" t="s">
        <v>664</v>
      </c>
      <c r="F167" s="22">
        <v>500</v>
      </c>
      <c r="G167" s="22">
        <v>0</v>
      </c>
      <c r="H167" s="27" t="s">
        <v>33</v>
      </c>
      <c r="I167" s="40" t="s">
        <v>42</v>
      </c>
      <c r="J167" s="28">
        <v>2013</v>
      </c>
      <c r="K167" s="29" t="s">
        <v>47</v>
      </c>
      <c r="L167" s="30" t="s">
        <v>304</v>
      </c>
      <c r="M167" s="31">
        <v>15000</v>
      </c>
      <c r="N167" s="32">
        <v>0</v>
      </c>
      <c r="O167" s="35">
        <v>0</v>
      </c>
      <c r="P167" s="21">
        <v>0</v>
      </c>
      <c r="Q167" s="21">
        <v>0</v>
      </c>
      <c r="R167" s="23">
        <v>15000</v>
      </c>
    </row>
    <row r="168" spans="1:18" x14ac:dyDescent="0.35">
      <c r="A168" s="24" t="s">
        <v>91</v>
      </c>
      <c r="B168" s="25" t="s">
        <v>261</v>
      </c>
      <c r="C168" s="36" t="s">
        <v>721</v>
      </c>
      <c r="D168" s="13" t="s">
        <v>2101</v>
      </c>
      <c r="E168" s="20" t="s">
        <v>722</v>
      </c>
      <c r="F168" s="22">
        <v>250</v>
      </c>
      <c r="G168" s="22">
        <v>275</v>
      </c>
      <c r="H168" s="27" t="s">
        <v>52</v>
      </c>
      <c r="I168" s="40" t="s">
        <v>42</v>
      </c>
      <c r="J168" s="28">
        <v>2019</v>
      </c>
      <c r="K168" s="29" t="s">
        <v>47</v>
      </c>
      <c r="L168" s="30" t="s">
        <v>152</v>
      </c>
      <c r="M168" s="31">
        <v>25000</v>
      </c>
      <c r="N168" s="32">
        <v>0</v>
      </c>
      <c r="O168" s="35">
        <v>0</v>
      </c>
      <c r="P168" s="21">
        <v>25000</v>
      </c>
      <c r="Q168" s="21">
        <v>0</v>
      </c>
      <c r="R168" s="23">
        <v>0</v>
      </c>
    </row>
    <row r="169" spans="1:18" x14ac:dyDescent="0.35">
      <c r="A169" s="24" t="s">
        <v>373</v>
      </c>
      <c r="B169" s="33" t="s">
        <v>594</v>
      </c>
      <c r="C169" s="26" t="s">
        <v>2056</v>
      </c>
      <c r="D169" s="13" t="s">
        <v>665</v>
      </c>
      <c r="E169" s="20" t="s">
        <v>666</v>
      </c>
      <c r="F169" s="22">
        <v>5100</v>
      </c>
      <c r="G169" s="22">
        <v>550</v>
      </c>
      <c r="H169" s="27" t="s">
        <v>52</v>
      </c>
      <c r="I169" s="13" t="s">
        <v>42</v>
      </c>
      <c r="J169" s="28">
        <v>2017</v>
      </c>
      <c r="K169" s="34" t="s">
        <v>34</v>
      </c>
      <c r="L169" s="30" t="s">
        <v>667</v>
      </c>
      <c r="M169" s="31">
        <v>45000</v>
      </c>
      <c r="N169" s="32">
        <v>10000</v>
      </c>
      <c r="O169" s="35">
        <v>15000</v>
      </c>
      <c r="P169" s="21">
        <v>10000</v>
      </c>
      <c r="Q169" s="21">
        <v>0</v>
      </c>
      <c r="R169" s="23">
        <v>10000</v>
      </c>
    </row>
    <row r="170" spans="1:18" x14ac:dyDescent="0.35">
      <c r="A170" s="24" t="s">
        <v>35</v>
      </c>
      <c r="B170" s="33" t="s">
        <v>425</v>
      </c>
      <c r="C170" s="26" t="s">
        <v>668</v>
      </c>
      <c r="D170" s="13" t="s">
        <v>669</v>
      </c>
      <c r="E170" s="13" t="s">
        <v>670</v>
      </c>
      <c r="F170" s="35">
        <v>237</v>
      </c>
      <c r="G170" s="22">
        <v>0</v>
      </c>
      <c r="H170" s="27" t="s">
        <v>33</v>
      </c>
      <c r="I170" s="40" t="s">
        <v>42</v>
      </c>
      <c r="J170" s="28">
        <v>2015</v>
      </c>
      <c r="K170" s="29" t="s">
        <v>34</v>
      </c>
      <c r="L170" s="30" t="s">
        <v>671</v>
      </c>
      <c r="M170" s="31">
        <v>4000</v>
      </c>
      <c r="N170" s="32">
        <v>3000</v>
      </c>
      <c r="O170" s="35">
        <v>1000</v>
      </c>
      <c r="P170" s="21">
        <v>0</v>
      </c>
      <c r="Q170" s="21">
        <v>0</v>
      </c>
      <c r="R170" s="23">
        <v>0</v>
      </c>
    </row>
    <row r="171" spans="1:18" x14ac:dyDescent="0.35">
      <c r="A171" s="24" t="s">
        <v>48</v>
      </c>
      <c r="B171" s="33" t="s">
        <v>71</v>
      </c>
      <c r="C171" s="26" t="s">
        <v>672</v>
      </c>
      <c r="D171" s="13" t="s">
        <v>673</v>
      </c>
      <c r="E171" s="20" t="s">
        <v>674</v>
      </c>
      <c r="F171" s="22">
        <v>2800</v>
      </c>
      <c r="G171" s="22">
        <v>0</v>
      </c>
      <c r="H171" s="27" t="s">
        <v>33</v>
      </c>
      <c r="I171" s="40" t="s">
        <v>42</v>
      </c>
      <c r="J171" s="28">
        <v>2015</v>
      </c>
      <c r="K171" s="29" t="s">
        <v>34</v>
      </c>
      <c r="L171" s="30" t="s">
        <v>675</v>
      </c>
      <c r="M171" s="31">
        <v>50000</v>
      </c>
      <c r="N171" s="32">
        <v>0</v>
      </c>
      <c r="O171" s="21">
        <v>50000</v>
      </c>
      <c r="P171" s="21">
        <v>0</v>
      </c>
      <c r="Q171" s="21">
        <v>0</v>
      </c>
      <c r="R171" s="23">
        <v>0</v>
      </c>
    </row>
    <row r="172" spans="1:18" x14ac:dyDescent="0.35">
      <c r="A172" s="24" t="s">
        <v>30</v>
      </c>
      <c r="B172" s="33" t="s">
        <v>80</v>
      </c>
      <c r="C172" s="26" t="s">
        <v>677</v>
      </c>
      <c r="D172" s="13" t="s">
        <v>678</v>
      </c>
      <c r="E172" s="20" t="s">
        <v>679</v>
      </c>
      <c r="F172" s="22">
        <v>1000</v>
      </c>
      <c r="G172" s="22">
        <v>0</v>
      </c>
      <c r="H172" s="27" t="s">
        <v>33</v>
      </c>
      <c r="I172" s="40" t="s">
        <v>42</v>
      </c>
      <c r="J172" s="28">
        <v>2010</v>
      </c>
      <c r="K172" s="34" t="s">
        <v>47</v>
      </c>
      <c r="L172" s="30" t="s">
        <v>152</v>
      </c>
      <c r="M172" s="43">
        <v>30000</v>
      </c>
      <c r="N172" s="32">
        <v>0</v>
      </c>
      <c r="O172" s="21">
        <v>0</v>
      </c>
      <c r="P172" s="21">
        <v>30000</v>
      </c>
      <c r="Q172" s="21">
        <v>0</v>
      </c>
      <c r="R172" s="23">
        <v>0</v>
      </c>
    </row>
    <row r="173" spans="1:18" x14ac:dyDescent="0.35">
      <c r="A173" s="24" t="s">
        <v>44</v>
      </c>
      <c r="B173" s="33" t="s">
        <v>45</v>
      </c>
      <c r="C173" s="26" t="s">
        <v>680</v>
      </c>
      <c r="D173" s="13" t="s">
        <v>681</v>
      </c>
      <c r="E173" s="20" t="s">
        <v>682</v>
      </c>
      <c r="F173" s="22">
        <v>500</v>
      </c>
      <c r="G173" s="22">
        <v>0</v>
      </c>
      <c r="H173" s="27" t="s">
        <v>33</v>
      </c>
      <c r="I173" s="40" t="s">
        <v>42</v>
      </c>
      <c r="J173" s="28">
        <v>2014</v>
      </c>
      <c r="K173" s="29" t="s">
        <v>34</v>
      </c>
      <c r="L173" s="30" t="s">
        <v>161</v>
      </c>
      <c r="M173" s="31">
        <v>17650</v>
      </c>
      <c r="N173" s="32">
        <v>3650</v>
      </c>
      <c r="O173" s="21">
        <v>14000</v>
      </c>
      <c r="P173" s="21">
        <v>0</v>
      </c>
      <c r="Q173" s="21">
        <v>0</v>
      </c>
      <c r="R173" s="23">
        <v>0</v>
      </c>
    </row>
    <row r="174" spans="1:18" x14ac:dyDescent="0.35">
      <c r="A174" s="24" t="s">
        <v>35</v>
      </c>
      <c r="B174" s="25" t="s">
        <v>408</v>
      </c>
      <c r="C174" s="36" t="s">
        <v>508</v>
      </c>
      <c r="D174" s="13" t="s">
        <v>683</v>
      </c>
      <c r="E174" s="20" t="s">
        <v>684</v>
      </c>
      <c r="F174" s="22" t="s">
        <v>93</v>
      </c>
      <c r="G174" s="22">
        <v>550</v>
      </c>
      <c r="H174" s="27" t="s">
        <v>214</v>
      </c>
      <c r="I174" s="40" t="s">
        <v>42</v>
      </c>
      <c r="J174" s="28">
        <v>2019</v>
      </c>
      <c r="K174" s="29" t="s">
        <v>47</v>
      </c>
      <c r="L174" s="30" t="s">
        <v>152</v>
      </c>
      <c r="M174" s="31">
        <v>50000</v>
      </c>
      <c r="N174" s="32">
        <v>0</v>
      </c>
      <c r="O174" s="21">
        <v>0</v>
      </c>
      <c r="P174" s="35">
        <v>50000</v>
      </c>
      <c r="Q174" s="21">
        <v>0</v>
      </c>
      <c r="R174" s="23">
        <v>0</v>
      </c>
    </row>
    <row r="175" spans="1:18" x14ac:dyDescent="0.35">
      <c r="A175" s="24" t="s">
        <v>44</v>
      </c>
      <c r="B175" s="33" t="s">
        <v>45</v>
      </c>
      <c r="C175" s="26" t="s">
        <v>685</v>
      </c>
      <c r="D175" s="13" t="s">
        <v>686</v>
      </c>
      <c r="E175" s="20" t="s">
        <v>687</v>
      </c>
      <c r="F175" s="22">
        <v>500</v>
      </c>
      <c r="G175" s="22">
        <v>0</v>
      </c>
      <c r="H175" s="27" t="s">
        <v>33</v>
      </c>
      <c r="I175" s="40" t="s">
        <v>42</v>
      </c>
      <c r="J175" s="28">
        <v>2019</v>
      </c>
      <c r="K175" s="34" t="s">
        <v>34</v>
      </c>
      <c r="L175" s="30" t="s">
        <v>37</v>
      </c>
      <c r="M175" s="31">
        <v>0</v>
      </c>
      <c r="N175" s="32">
        <v>0</v>
      </c>
      <c r="O175" s="35">
        <v>0</v>
      </c>
      <c r="P175" s="21">
        <v>0</v>
      </c>
      <c r="Q175" s="21">
        <v>0</v>
      </c>
      <c r="R175" s="23">
        <v>0</v>
      </c>
    </row>
    <row r="176" spans="1:18" x14ac:dyDescent="0.35">
      <c r="A176" s="24" t="s">
        <v>63</v>
      </c>
      <c r="B176" s="33" t="s">
        <v>257</v>
      </c>
      <c r="C176" s="26" t="s">
        <v>262</v>
      </c>
      <c r="D176" s="13" t="s">
        <v>688</v>
      </c>
      <c r="E176" s="20" t="s">
        <v>689</v>
      </c>
      <c r="F176" s="22">
        <v>3000</v>
      </c>
      <c r="G176" s="22">
        <v>0</v>
      </c>
      <c r="H176" s="27" t="s">
        <v>33</v>
      </c>
      <c r="I176" s="40" t="s">
        <v>42</v>
      </c>
      <c r="J176" s="28">
        <v>2013</v>
      </c>
      <c r="K176" s="29" t="s">
        <v>47</v>
      </c>
      <c r="L176" s="30" t="s">
        <v>690</v>
      </c>
      <c r="M176" s="31">
        <v>15000</v>
      </c>
      <c r="N176" s="32">
        <v>0</v>
      </c>
      <c r="O176" s="35">
        <v>0</v>
      </c>
      <c r="P176" s="21">
        <v>0</v>
      </c>
      <c r="Q176" s="21">
        <v>0</v>
      </c>
      <c r="R176" s="23">
        <v>15000</v>
      </c>
    </row>
    <row r="177" spans="1:18" x14ac:dyDescent="0.35">
      <c r="A177" s="24" t="s">
        <v>44</v>
      </c>
      <c r="B177" s="33" t="s">
        <v>106</v>
      </c>
      <c r="C177" s="26" t="s">
        <v>692</v>
      </c>
      <c r="D177" s="13" t="s">
        <v>693</v>
      </c>
      <c r="E177" s="20" t="s">
        <v>694</v>
      </c>
      <c r="F177" s="22">
        <v>500</v>
      </c>
      <c r="G177" s="22">
        <v>0</v>
      </c>
      <c r="H177" s="27" t="s">
        <v>33</v>
      </c>
      <c r="I177" s="40" t="s">
        <v>42</v>
      </c>
      <c r="J177" s="28">
        <v>2017</v>
      </c>
      <c r="K177" s="29" t="s">
        <v>34</v>
      </c>
      <c r="L177" s="30" t="s">
        <v>695</v>
      </c>
      <c r="M177" s="31">
        <v>14000</v>
      </c>
      <c r="N177" s="32">
        <v>3500</v>
      </c>
      <c r="O177" s="21">
        <v>10500</v>
      </c>
      <c r="P177" s="21">
        <v>0</v>
      </c>
      <c r="Q177" s="21">
        <v>0</v>
      </c>
      <c r="R177" s="23">
        <v>0</v>
      </c>
    </row>
    <row r="178" spans="1:18" x14ac:dyDescent="0.35">
      <c r="A178" s="24" t="s">
        <v>30</v>
      </c>
      <c r="B178" s="33" t="s">
        <v>662</v>
      </c>
      <c r="C178" s="26" t="s">
        <v>697</v>
      </c>
      <c r="D178" s="13" t="s">
        <v>698</v>
      </c>
      <c r="E178" s="20" t="s">
        <v>2149</v>
      </c>
      <c r="F178" s="22">
        <v>500</v>
      </c>
      <c r="G178" s="22">
        <v>550</v>
      </c>
      <c r="H178" s="27" t="s">
        <v>52</v>
      </c>
      <c r="I178" s="40" t="s">
        <v>42</v>
      </c>
      <c r="J178" s="28">
        <v>2016</v>
      </c>
      <c r="K178" s="34" t="s">
        <v>34</v>
      </c>
      <c r="L178" s="30" t="s">
        <v>699</v>
      </c>
      <c r="M178" s="31">
        <v>55000</v>
      </c>
      <c r="N178" s="32">
        <v>10000</v>
      </c>
      <c r="O178" s="35">
        <v>35000</v>
      </c>
      <c r="P178" s="21">
        <v>10000</v>
      </c>
      <c r="Q178" s="21">
        <v>0</v>
      </c>
      <c r="R178" s="23">
        <v>0</v>
      </c>
    </row>
    <row r="179" spans="1:18" x14ac:dyDescent="0.35">
      <c r="A179" s="24" t="s">
        <v>30</v>
      </c>
      <c r="B179" s="33" t="s">
        <v>31</v>
      </c>
      <c r="C179" s="26" t="s">
        <v>700</v>
      </c>
      <c r="D179" s="13" t="s">
        <v>701</v>
      </c>
      <c r="E179" s="13" t="s">
        <v>702</v>
      </c>
      <c r="F179" s="22">
        <v>62.3</v>
      </c>
      <c r="G179" s="22">
        <v>0</v>
      </c>
      <c r="H179" s="27" t="s">
        <v>33</v>
      </c>
      <c r="I179" s="40" t="s">
        <v>42</v>
      </c>
      <c r="J179" s="28">
        <v>2017</v>
      </c>
      <c r="K179" s="29" t="s">
        <v>34</v>
      </c>
      <c r="L179" s="30" t="s">
        <v>496</v>
      </c>
      <c r="M179" s="31">
        <v>3000</v>
      </c>
      <c r="N179" s="32">
        <v>3000</v>
      </c>
      <c r="O179" s="21">
        <v>0</v>
      </c>
      <c r="P179" s="21">
        <v>0</v>
      </c>
      <c r="Q179" s="21">
        <v>0</v>
      </c>
      <c r="R179" s="23">
        <v>0</v>
      </c>
    </row>
    <row r="180" spans="1:18" x14ac:dyDescent="0.35">
      <c r="A180" s="24" t="s">
        <v>44</v>
      </c>
      <c r="B180" s="33" t="s">
        <v>45</v>
      </c>
      <c r="C180" s="26" t="s">
        <v>703</v>
      </c>
      <c r="D180" s="13" t="s">
        <v>704</v>
      </c>
      <c r="E180" s="20" t="s">
        <v>705</v>
      </c>
      <c r="F180" s="22">
        <v>500</v>
      </c>
      <c r="G180" s="22">
        <v>0</v>
      </c>
      <c r="H180" s="27" t="s">
        <v>33</v>
      </c>
      <c r="I180" s="40" t="s">
        <v>42</v>
      </c>
      <c r="J180" s="28">
        <v>2014</v>
      </c>
      <c r="K180" s="29" t="s">
        <v>34</v>
      </c>
      <c r="L180" s="30" t="s">
        <v>706</v>
      </c>
      <c r="M180" s="31">
        <v>21900</v>
      </c>
      <c r="N180" s="32">
        <v>10950</v>
      </c>
      <c r="O180" s="21">
        <v>10950</v>
      </c>
      <c r="P180" s="21">
        <v>0</v>
      </c>
      <c r="Q180" s="21">
        <v>0</v>
      </c>
      <c r="R180" s="23">
        <v>0</v>
      </c>
    </row>
    <row r="181" spans="1:18" x14ac:dyDescent="0.35">
      <c r="A181" s="24" t="s">
        <v>44</v>
      </c>
      <c r="B181" s="33" t="s">
        <v>106</v>
      </c>
      <c r="C181" s="26" t="s">
        <v>707</v>
      </c>
      <c r="D181" s="13" t="s">
        <v>708</v>
      </c>
      <c r="E181" s="13" t="s">
        <v>709</v>
      </c>
      <c r="F181" s="22">
        <v>150</v>
      </c>
      <c r="G181" s="22">
        <v>0</v>
      </c>
      <c r="H181" s="27" t="s">
        <v>33</v>
      </c>
      <c r="I181" s="13" t="s">
        <v>42</v>
      </c>
      <c r="J181" s="28">
        <v>2014</v>
      </c>
      <c r="K181" s="34" t="s">
        <v>34</v>
      </c>
      <c r="L181" s="30" t="s">
        <v>173</v>
      </c>
      <c r="M181" s="31">
        <v>14600</v>
      </c>
      <c r="N181" s="32">
        <v>5475</v>
      </c>
      <c r="O181" s="21">
        <v>9125</v>
      </c>
      <c r="P181" s="21">
        <v>0</v>
      </c>
      <c r="Q181" s="21">
        <v>0</v>
      </c>
      <c r="R181" s="23">
        <v>0</v>
      </c>
    </row>
    <row r="182" spans="1:18" x14ac:dyDescent="0.35">
      <c r="A182" s="24" t="s">
        <v>44</v>
      </c>
      <c r="B182" s="33" t="s">
        <v>106</v>
      </c>
      <c r="C182" s="26" t="s">
        <v>107</v>
      </c>
      <c r="D182" s="13" t="s">
        <v>710</v>
      </c>
      <c r="E182" s="20" t="s">
        <v>711</v>
      </c>
      <c r="F182" s="22">
        <v>500</v>
      </c>
      <c r="G182" s="22">
        <v>0</v>
      </c>
      <c r="H182" s="27" t="s">
        <v>33</v>
      </c>
      <c r="I182" s="40" t="s">
        <v>42</v>
      </c>
      <c r="J182" s="28">
        <v>2017</v>
      </c>
      <c r="K182" s="29" t="s">
        <v>34</v>
      </c>
      <c r="L182" s="30" t="s">
        <v>161</v>
      </c>
      <c r="M182" s="31">
        <v>18000</v>
      </c>
      <c r="N182" s="32">
        <v>6000</v>
      </c>
      <c r="O182" s="35">
        <v>12000</v>
      </c>
      <c r="P182" s="21">
        <v>0</v>
      </c>
      <c r="Q182" s="21">
        <v>0</v>
      </c>
      <c r="R182" s="23">
        <v>0</v>
      </c>
    </row>
    <row r="183" spans="1:18" x14ac:dyDescent="0.35">
      <c r="A183" s="24" t="s">
        <v>94</v>
      </c>
      <c r="B183" s="33" t="s">
        <v>123</v>
      </c>
      <c r="C183" s="26" t="s">
        <v>2060</v>
      </c>
      <c r="D183" s="41" t="s">
        <v>712</v>
      </c>
      <c r="E183" s="20" t="s">
        <v>713</v>
      </c>
      <c r="F183" s="22">
        <v>1800</v>
      </c>
      <c r="G183" s="22">
        <v>0</v>
      </c>
      <c r="H183" s="27" t="s">
        <v>33</v>
      </c>
      <c r="I183" s="40" t="s">
        <v>42</v>
      </c>
      <c r="J183" s="28">
        <v>2011</v>
      </c>
      <c r="K183" s="29" t="s">
        <v>34</v>
      </c>
      <c r="L183" s="30" t="s">
        <v>714</v>
      </c>
      <c r="M183" s="31">
        <v>32000</v>
      </c>
      <c r="N183" s="32">
        <v>7000</v>
      </c>
      <c r="O183" s="35">
        <v>25000</v>
      </c>
      <c r="P183" s="21">
        <v>0</v>
      </c>
      <c r="Q183" s="21">
        <v>0</v>
      </c>
      <c r="R183" s="23">
        <v>0</v>
      </c>
    </row>
    <row r="184" spans="1:18" x14ac:dyDescent="0.35">
      <c r="A184" s="24" t="s">
        <v>44</v>
      </c>
      <c r="B184" s="33" t="s">
        <v>54</v>
      </c>
      <c r="C184" s="26" t="s">
        <v>715</v>
      </c>
      <c r="D184" s="13" t="s">
        <v>716</v>
      </c>
      <c r="E184" s="20" t="s">
        <v>717</v>
      </c>
      <c r="F184" s="22">
        <v>195</v>
      </c>
      <c r="G184" s="22">
        <v>0</v>
      </c>
      <c r="H184" s="27" t="s">
        <v>33</v>
      </c>
      <c r="I184" s="40" t="s">
        <v>42</v>
      </c>
      <c r="J184" s="28">
        <v>2017</v>
      </c>
      <c r="K184" s="29" t="s">
        <v>34</v>
      </c>
      <c r="L184" s="30" t="s">
        <v>191</v>
      </c>
      <c r="M184" s="31">
        <v>12500</v>
      </c>
      <c r="N184" s="32">
        <v>12500</v>
      </c>
      <c r="O184" s="21">
        <v>0</v>
      </c>
      <c r="P184" s="35">
        <v>0</v>
      </c>
      <c r="Q184" s="21">
        <v>0</v>
      </c>
      <c r="R184" s="23">
        <v>0</v>
      </c>
    </row>
    <row r="185" spans="1:18" x14ac:dyDescent="0.35">
      <c r="A185" s="24" t="s">
        <v>44</v>
      </c>
      <c r="B185" s="33" t="s">
        <v>106</v>
      </c>
      <c r="C185" s="26" t="s">
        <v>718</v>
      </c>
      <c r="D185" s="13" t="s">
        <v>719</v>
      </c>
      <c r="E185" s="13" t="s">
        <v>720</v>
      </c>
      <c r="F185" s="35">
        <v>500</v>
      </c>
      <c r="G185" s="22">
        <v>0</v>
      </c>
      <c r="H185" s="27" t="s">
        <v>33</v>
      </c>
      <c r="I185" s="40" t="s">
        <v>42</v>
      </c>
      <c r="J185" s="28">
        <v>2013</v>
      </c>
      <c r="K185" s="29" t="s">
        <v>34</v>
      </c>
      <c r="L185" s="30" t="s">
        <v>161</v>
      </c>
      <c r="M185" s="31">
        <v>15400</v>
      </c>
      <c r="N185" s="32">
        <v>3900</v>
      </c>
      <c r="O185" s="21">
        <v>11500</v>
      </c>
      <c r="P185" s="35">
        <v>0</v>
      </c>
      <c r="Q185" s="21">
        <v>0</v>
      </c>
      <c r="R185" s="23">
        <v>0</v>
      </c>
    </row>
    <row r="186" spans="1:18" x14ac:dyDescent="0.35">
      <c r="A186" s="24" t="s">
        <v>94</v>
      </c>
      <c r="B186" s="33" t="s">
        <v>123</v>
      </c>
      <c r="C186" s="26" t="s">
        <v>723</v>
      </c>
      <c r="D186" s="13" t="s">
        <v>724</v>
      </c>
      <c r="E186" s="20" t="s">
        <v>725</v>
      </c>
      <c r="F186" s="22">
        <v>500</v>
      </c>
      <c r="G186" s="22">
        <v>0</v>
      </c>
      <c r="H186" s="27" t="s">
        <v>33</v>
      </c>
      <c r="I186" s="40" t="s">
        <v>42</v>
      </c>
      <c r="J186" s="28">
        <v>2016</v>
      </c>
      <c r="K186" s="29" t="s">
        <v>47</v>
      </c>
      <c r="L186" s="30" t="s">
        <v>152</v>
      </c>
      <c r="M186" s="31">
        <v>10000</v>
      </c>
      <c r="N186" s="32">
        <v>0</v>
      </c>
      <c r="O186" s="21">
        <v>0</v>
      </c>
      <c r="P186" s="35">
        <v>10000</v>
      </c>
      <c r="Q186" s="21">
        <v>0</v>
      </c>
      <c r="R186" s="23">
        <v>0</v>
      </c>
    </row>
    <row r="187" spans="1:18" x14ac:dyDescent="0.35">
      <c r="A187" s="24" t="s">
        <v>38</v>
      </c>
      <c r="B187" s="33" t="s">
        <v>171</v>
      </c>
      <c r="C187" s="26" t="s">
        <v>726</v>
      </c>
      <c r="D187" s="13" t="s">
        <v>727</v>
      </c>
      <c r="E187" s="20" t="s">
        <v>728</v>
      </c>
      <c r="F187" s="22">
        <v>395</v>
      </c>
      <c r="G187" s="22">
        <v>0</v>
      </c>
      <c r="H187" s="27" t="s">
        <v>33</v>
      </c>
      <c r="I187" s="40" t="s">
        <v>42</v>
      </c>
      <c r="J187" s="28">
        <v>2013</v>
      </c>
      <c r="K187" s="29" t="s">
        <v>34</v>
      </c>
      <c r="L187" s="30" t="s">
        <v>729</v>
      </c>
      <c r="M187" s="31">
        <v>13000</v>
      </c>
      <c r="N187" s="32">
        <v>3000</v>
      </c>
      <c r="O187" s="35">
        <v>10000</v>
      </c>
      <c r="P187" s="35">
        <v>0</v>
      </c>
      <c r="Q187" s="21">
        <v>0</v>
      </c>
      <c r="R187" s="23">
        <v>0</v>
      </c>
    </row>
    <row r="188" spans="1:18" ht="10.5" customHeight="1" x14ac:dyDescent="0.35">
      <c r="A188" s="24" t="s">
        <v>38</v>
      </c>
      <c r="B188" s="33" t="s">
        <v>148</v>
      </c>
      <c r="C188" s="26" t="s">
        <v>508</v>
      </c>
      <c r="D188" s="13" t="s">
        <v>731</v>
      </c>
      <c r="E188" s="20" t="s">
        <v>2170</v>
      </c>
      <c r="F188" s="22">
        <v>2400</v>
      </c>
      <c r="G188" s="22">
        <v>350</v>
      </c>
      <c r="H188" s="27" t="s">
        <v>52</v>
      </c>
      <c r="I188" s="40" t="s">
        <v>42</v>
      </c>
      <c r="J188" s="28">
        <v>2014</v>
      </c>
      <c r="K188" s="34" t="s">
        <v>47</v>
      </c>
      <c r="L188" s="30" t="s">
        <v>152</v>
      </c>
      <c r="M188" s="31">
        <v>50000</v>
      </c>
      <c r="N188" s="32">
        <v>0</v>
      </c>
      <c r="O188" s="35">
        <v>0</v>
      </c>
      <c r="P188" s="21">
        <v>50000</v>
      </c>
      <c r="Q188" s="21">
        <v>0</v>
      </c>
      <c r="R188" s="23">
        <v>0</v>
      </c>
    </row>
    <row r="189" spans="1:18" x14ac:dyDescent="0.35">
      <c r="A189" s="24" t="s">
        <v>30</v>
      </c>
      <c r="B189" s="33" t="s">
        <v>31</v>
      </c>
      <c r="C189" s="26" t="s">
        <v>732</v>
      </c>
      <c r="D189" s="13" t="s">
        <v>733</v>
      </c>
      <c r="E189" s="13" t="s">
        <v>2163</v>
      </c>
      <c r="F189" s="22">
        <v>243</v>
      </c>
      <c r="G189" s="22">
        <v>0</v>
      </c>
      <c r="H189" s="27" t="s">
        <v>33</v>
      </c>
      <c r="I189" s="40" t="s">
        <v>42</v>
      </c>
      <c r="J189" s="28">
        <v>2014</v>
      </c>
      <c r="K189" s="34" t="s">
        <v>34</v>
      </c>
      <c r="L189" s="30" t="s">
        <v>734</v>
      </c>
      <c r="M189" s="31">
        <v>5000</v>
      </c>
      <c r="N189" s="32">
        <v>2500</v>
      </c>
      <c r="O189" s="21">
        <v>2500</v>
      </c>
      <c r="P189" s="21">
        <v>0</v>
      </c>
      <c r="Q189" s="21">
        <v>0</v>
      </c>
      <c r="R189" s="23">
        <v>0</v>
      </c>
    </row>
    <row r="190" spans="1:18" x14ac:dyDescent="0.35">
      <c r="A190" s="24" t="s">
        <v>35</v>
      </c>
      <c r="B190" s="33" t="s">
        <v>36</v>
      </c>
      <c r="C190" s="26" t="s">
        <v>735</v>
      </c>
      <c r="D190" s="20" t="s">
        <v>736</v>
      </c>
      <c r="E190" s="20" t="s">
        <v>2140</v>
      </c>
      <c r="F190" s="22">
        <v>1160</v>
      </c>
      <c r="G190" s="22">
        <v>0</v>
      </c>
      <c r="H190" s="27" t="s">
        <v>33</v>
      </c>
      <c r="I190" s="40" t="s">
        <v>42</v>
      </c>
      <c r="J190" s="28">
        <v>2013</v>
      </c>
      <c r="K190" s="34" t="s">
        <v>34</v>
      </c>
      <c r="L190" s="38" t="s">
        <v>737</v>
      </c>
      <c r="M190" s="31">
        <v>26325</v>
      </c>
      <c r="N190" s="32">
        <v>10000</v>
      </c>
      <c r="O190" s="35">
        <v>10000</v>
      </c>
      <c r="P190" s="21">
        <v>0</v>
      </c>
      <c r="Q190" s="21">
        <v>6325</v>
      </c>
      <c r="R190" s="23">
        <v>0</v>
      </c>
    </row>
    <row r="191" spans="1:18" x14ac:dyDescent="0.35">
      <c r="A191" s="24" t="s">
        <v>30</v>
      </c>
      <c r="B191" s="33" t="s">
        <v>80</v>
      </c>
      <c r="C191" s="26" t="s">
        <v>738</v>
      </c>
      <c r="D191" s="13" t="s">
        <v>739</v>
      </c>
      <c r="E191" s="20" t="s">
        <v>740</v>
      </c>
      <c r="F191" s="22">
        <v>154</v>
      </c>
      <c r="G191" s="22">
        <v>0</v>
      </c>
      <c r="H191" s="27" t="s">
        <v>33</v>
      </c>
      <c r="I191" s="40" t="s">
        <v>42</v>
      </c>
      <c r="J191" s="28">
        <v>2014</v>
      </c>
      <c r="K191" s="29" t="s">
        <v>34</v>
      </c>
      <c r="L191" s="30" t="s">
        <v>58</v>
      </c>
      <c r="M191" s="31">
        <v>12800</v>
      </c>
      <c r="N191" s="32">
        <v>12800</v>
      </c>
      <c r="O191" s="35">
        <v>0</v>
      </c>
      <c r="P191" s="21">
        <v>0</v>
      </c>
      <c r="Q191" s="21">
        <v>0</v>
      </c>
      <c r="R191" s="23">
        <v>0</v>
      </c>
    </row>
    <row r="192" spans="1:18" x14ac:dyDescent="0.35">
      <c r="A192" s="24" t="s">
        <v>466</v>
      </c>
      <c r="B192" s="33" t="s">
        <v>467</v>
      </c>
      <c r="C192" s="26" t="s">
        <v>2054</v>
      </c>
      <c r="D192" s="41" t="s">
        <v>2103</v>
      </c>
      <c r="E192" s="20" t="s">
        <v>2145</v>
      </c>
      <c r="F192" s="22">
        <v>3560</v>
      </c>
      <c r="G192" s="22">
        <v>1200</v>
      </c>
      <c r="H192" s="27" t="s">
        <v>33</v>
      </c>
      <c r="I192" s="40" t="s">
        <v>42</v>
      </c>
      <c r="J192" s="28">
        <v>2014</v>
      </c>
      <c r="K192" s="29" t="s">
        <v>47</v>
      </c>
      <c r="L192" s="30" t="s">
        <v>152</v>
      </c>
      <c r="M192" s="31">
        <v>70000</v>
      </c>
      <c r="N192" s="32">
        <v>0</v>
      </c>
      <c r="O192" s="35">
        <v>0</v>
      </c>
      <c r="P192" s="21">
        <v>70000</v>
      </c>
      <c r="Q192" s="21">
        <v>0</v>
      </c>
      <c r="R192" s="23">
        <v>0</v>
      </c>
    </row>
    <row r="193" spans="1:18" x14ac:dyDescent="0.35">
      <c r="A193" s="24" t="s">
        <v>30</v>
      </c>
      <c r="B193" s="33" t="s">
        <v>31</v>
      </c>
      <c r="C193" s="26" t="s">
        <v>741</v>
      </c>
      <c r="D193" s="13" t="s">
        <v>742</v>
      </c>
      <c r="E193" s="13" t="s">
        <v>743</v>
      </c>
      <c r="F193" s="22">
        <v>76</v>
      </c>
      <c r="G193" s="22">
        <v>0</v>
      </c>
      <c r="H193" s="27" t="s">
        <v>33</v>
      </c>
      <c r="I193" s="40" t="s">
        <v>42</v>
      </c>
      <c r="J193" s="28">
        <v>2016</v>
      </c>
      <c r="K193" s="34" t="s">
        <v>34</v>
      </c>
      <c r="L193" s="30" t="s">
        <v>191</v>
      </c>
      <c r="M193" s="31">
        <v>3500</v>
      </c>
      <c r="N193" s="32">
        <v>3500</v>
      </c>
      <c r="O193" s="35">
        <v>0</v>
      </c>
      <c r="P193" s="21">
        <v>0</v>
      </c>
      <c r="Q193" s="21">
        <v>0</v>
      </c>
      <c r="R193" s="23">
        <v>0</v>
      </c>
    </row>
    <row r="194" spans="1:18" x14ac:dyDescent="0.35">
      <c r="A194" s="24" t="s">
        <v>91</v>
      </c>
      <c r="B194" s="33" t="s">
        <v>92</v>
      </c>
      <c r="C194" s="26" t="s">
        <v>380</v>
      </c>
      <c r="D194" s="13" t="s">
        <v>744</v>
      </c>
      <c r="E194" s="20" t="s">
        <v>745</v>
      </c>
      <c r="F194" s="22">
        <v>3000</v>
      </c>
      <c r="G194" s="22">
        <v>0</v>
      </c>
      <c r="H194" s="27" t="s">
        <v>33</v>
      </c>
      <c r="I194" s="40" t="s">
        <v>42</v>
      </c>
      <c r="J194" s="28">
        <v>2021</v>
      </c>
      <c r="K194" s="29" t="s">
        <v>47</v>
      </c>
      <c r="L194" s="30" t="s">
        <v>90</v>
      </c>
      <c r="M194" s="31">
        <v>67000</v>
      </c>
      <c r="N194" s="32">
        <v>0</v>
      </c>
      <c r="O194" s="35">
        <v>0</v>
      </c>
      <c r="P194" s="21">
        <v>40200</v>
      </c>
      <c r="Q194" s="21">
        <v>0</v>
      </c>
      <c r="R194" s="23">
        <v>26800</v>
      </c>
    </row>
    <row r="195" spans="1:18" x14ac:dyDescent="0.35">
      <c r="A195" s="24" t="s">
        <v>91</v>
      </c>
      <c r="B195" s="33" t="s">
        <v>295</v>
      </c>
      <c r="C195" s="26" t="s">
        <v>746</v>
      </c>
      <c r="D195" s="13" t="s">
        <v>747</v>
      </c>
      <c r="E195" s="20" t="s">
        <v>748</v>
      </c>
      <c r="F195" s="22">
        <v>489</v>
      </c>
      <c r="G195" s="22">
        <v>550</v>
      </c>
      <c r="H195" s="27" t="s">
        <v>52</v>
      </c>
      <c r="I195" s="40" t="s">
        <v>42</v>
      </c>
      <c r="J195" s="28">
        <v>2013</v>
      </c>
      <c r="K195" s="29" t="s">
        <v>34</v>
      </c>
      <c r="L195" s="30" t="s">
        <v>267</v>
      </c>
      <c r="M195" s="31">
        <v>30000</v>
      </c>
      <c r="N195" s="32">
        <v>0</v>
      </c>
      <c r="O195" s="35">
        <v>30000</v>
      </c>
      <c r="P195" s="21">
        <v>0</v>
      </c>
      <c r="Q195" s="21">
        <v>0</v>
      </c>
      <c r="R195" s="23">
        <v>0</v>
      </c>
    </row>
    <row r="196" spans="1:18" x14ac:dyDescent="0.35">
      <c r="A196" s="24" t="s">
        <v>30</v>
      </c>
      <c r="B196" s="33" t="s">
        <v>80</v>
      </c>
      <c r="C196" s="26" t="s">
        <v>2065</v>
      </c>
      <c r="D196" s="39" t="s">
        <v>749</v>
      </c>
      <c r="E196" s="20" t="s">
        <v>2151</v>
      </c>
      <c r="F196" s="22">
        <v>500</v>
      </c>
      <c r="G196" s="22">
        <v>0</v>
      </c>
      <c r="H196" s="27" t="s">
        <v>33</v>
      </c>
      <c r="I196" s="40" t="s">
        <v>42</v>
      </c>
      <c r="J196" s="28">
        <v>2021</v>
      </c>
      <c r="K196" s="34" t="s">
        <v>47</v>
      </c>
      <c r="L196" s="38" t="s">
        <v>696</v>
      </c>
      <c r="M196" s="31">
        <v>12000</v>
      </c>
      <c r="N196" s="32">
        <v>0</v>
      </c>
      <c r="O196" s="35">
        <v>0</v>
      </c>
      <c r="P196" s="21">
        <v>0</v>
      </c>
      <c r="Q196" s="21">
        <v>0</v>
      </c>
      <c r="R196" s="23">
        <v>12000</v>
      </c>
    </row>
    <row r="197" spans="1:18" x14ac:dyDescent="0.35">
      <c r="A197" s="24" t="s">
        <v>63</v>
      </c>
      <c r="B197" s="33" t="s">
        <v>382</v>
      </c>
      <c r="C197" s="26" t="s">
        <v>750</v>
      </c>
      <c r="D197" s="13" t="s">
        <v>751</v>
      </c>
      <c r="E197" s="20" t="s">
        <v>752</v>
      </c>
      <c r="F197" s="22">
        <v>182.5</v>
      </c>
      <c r="G197" s="22">
        <v>0</v>
      </c>
      <c r="H197" s="27" t="s">
        <v>33</v>
      </c>
      <c r="I197" s="40" t="s">
        <v>42</v>
      </c>
      <c r="J197" s="28">
        <v>2015</v>
      </c>
      <c r="K197" s="29" t="s">
        <v>34</v>
      </c>
      <c r="L197" s="30" t="s">
        <v>753</v>
      </c>
      <c r="M197" s="31">
        <v>12764</v>
      </c>
      <c r="N197" s="32">
        <v>12764</v>
      </c>
      <c r="O197" s="35">
        <v>0</v>
      </c>
      <c r="P197" s="21">
        <v>0</v>
      </c>
      <c r="Q197" s="35">
        <v>0</v>
      </c>
      <c r="R197" s="23">
        <v>0</v>
      </c>
    </row>
    <row r="198" spans="1:18" ht="10.5" customHeight="1" x14ac:dyDescent="0.35">
      <c r="A198" s="24" t="s">
        <v>94</v>
      </c>
      <c r="B198" s="33" t="s">
        <v>143</v>
      </c>
      <c r="C198" s="26" t="s">
        <v>754</v>
      </c>
      <c r="D198" s="13" t="s">
        <v>755</v>
      </c>
      <c r="E198" s="20" t="s">
        <v>756</v>
      </c>
      <c r="F198" s="22">
        <v>500</v>
      </c>
      <c r="G198" s="22">
        <v>0</v>
      </c>
      <c r="H198" s="27" t="s">
        <v>33</v>
      </c>
      <c r="I198" s="40" t="s">
        <v>42</v>
      </c>
      <c r="J198" s="28">
        <v>2016</v>
      </c>
      <c r="K198" s="29" t="s">
        <v>47</v>
      </c>
      <c r="L198" s="30" t="s">
        <v>757</v>
      </c>
      <c r="M198" s="31">
        <v>17500</v>
      </c>
      <c r="N198" s="32">
        <v>0</v>
      </c>
      <c r="O198" s="21">
        <v>0</v>
      </c>
      <c r="P198" s="21">
        <v>0</v>
      </c>
      <c r="Q198" s="21">
        <v>0</v>
      </c>
      <c r="R198" s="23">
        <v>17500</v>
      </c>
    </row>
    <row r="199" spans="1:18" x14ac:dyDescent="0.35">
      <c r="A199" s="24" t="s">
        <v>48</v>
      </c>
      <c r="B199" s="33" t="s">
        <v>49</v>
      </c>
      <c r="C199" s="26" t="s">
        <v>2062</v>
      </c>
      <c r="D199" s="13" t="s">
        <v>758</v>
      </c>
      <c r="E199" s="20" t="s">
        <v>759</v>
      </c>
      <c r="F199" s="22">
        <v>12000</v>
      </c>
      <c r="G199" s="22">
        <v>1100</v>
      </c>
      <c r="H199" s="27" t="s">
        <v>52</v>
      </c>
      <c r="I199" s="40" t="s">
        <v>42</v>
      </c>
      <c r="J199" s="28">
        <v>2014</v>
      </c>
      <c r="K199" s="29" t="s">
        <v>34</v>
      </c>
      <c r="L199" s="30" t="s">
        <v>760</v>
      </c>
      <c r="M199" s="31">
        <v>100000</v>
      </c>
      <c r="N199" s="32">
        <v>0</v>
      </c>
      <c r="O199" s="35">
        <v>100000</v>
      </c>
      <c r="P199" s="21">
        <v>0</v>
      </c>
      <c r="Q199" s="35">
        <v>0</v>
      </c>
      <c r="R199" s="23">
        <v>0</v>
      </c>
    </row>
    <row r="200" spans="1:18" x14ac:dyDescent="0.35">
      <c r="A200" s="24" t="s">
        <v>85</v>
      </c>
      <c r="B200" s="33" t="s">
        <v>252</v>
      </c>
      <c r="C200" s="26" t="s">
        <v>761</v>
      </c>
      <c r="D200" s="13" t="s">
        <v>762</v>
      </c>
      <c r="E200" s="20" t="s">
        <v>763</v>
      </c>
      <c r="F200" s="22">
        <v>250</v>
      </c>
      <c r="G200" s="22">
        <v>304.15000000000003</v>
      </c>
      <c r="H200" s="27" t="s">
        <v>52</v>
      </c>
      <c r="I200" s="40" t="s">
        <v>42</v>
      </c>
      <c r="J200" s="28">
        <v>2018</v>
      </c>
      <c r="K200" s="29" t="s">
        <v>47</v>
      </c>
      <c r="L200" s="30" t="s">
        <v>372</v>
      </c>
      <c r="M200" s="31">
        <v>60000</v>
      </c>
      <c r="N200" s="32">
        <v>0</v>
      </c>
      <c r="O200" s="21">
        <v>0</v>
      </c>
      <c r="P200" s="35">
        <v>36000</v>
      </c>
      <c r="Q200" s="21">
        <v>0</v>
      </c>
      <c r="R200" s="23">
        <v>24000</v>
      </c>
    </row>
    <row r="201" spans="1:18" x14ac:dyDescent="0.35">
      <c r="A201" s="24" t="s">
        <v>44</v>
      </c>
      <c r="B201" s="33" t="s">
        <v>45</v>
      </c>
      <c r="C201" s="26" t="s">
        <v>766</v>
      </c>
      <c r="D201" s="13" t="s">
        <v>766</v>
      </c>
      <c r="E201" s="20" t="s">
        <v>767</v>
      </c>
      <c r="F201" s="22">
        <v>250</v>
      </c>
      <c r="G201" s="22">
        <v>0</v>
      </c>
      <c r="H201" s="27" t="s">
        <v>33</v>
      </c>
      <c r="I201" s="40" t="s">
        <v>42</v>
      </c>
      <c r="J201" s="28">
        <v>2015</v>
      </c>
      <c r="K201" s="29" t="s">
        <v>34</v>
      </c>
      <c r="L201" s="30" t="s">
        <v>161</v>
      </c>
      <c r="M201" s="31">
        <v>6100</v>
      </c>
      <c r="N201" s="32">
        <v>1000</v>
      </c>
      <c r="O201" s="21">
        <v>5100</v>
      </c>
      <c r="P201" s="35">
        <v>0</v>
      </c>
      <c r="Q201" s="21">
        <v>0</v>
      </c>
      <c r="R201" s="23">
        <v>0</v>
      </c>
    </row>
    <row r="202" spans="1:18" x14ac:dyDescent="0.35">
      <c r="A202" s="24" t="s">
        <v>48</v>
      </c>
      <c r="B202" s="25" t="s">
        <v>49</v>
      </c>
      <c r="C202" s="36" t="s">
        <v>2078</v>
      </c>
      <c r="D202" s="13" t="s">
        <v>2121</v>
      </c>
      <c r="E202" s="20" t="s">
        <v>768</v>
      </c>
      <c r="F202" s="22">
        <v>448</v>
      </c>
      <c r="G202" s="22">
        <v>600</v>
      </c>
      <c r="H202" s="27" t="s">
        <v>52</v>
      </c>
      <c r="I202" s="40" t="s">
        <v>42</v>
      </c>
      <c r="J202" s="28">
        <v>2015</v>
      </c>
      <c r="K202" s="34" t="s">
        <v>34</v>
      </c>
      <c r="L202" s="30" t="s">
        <v>211</v>
      </c>
      <c r="M202" s="31">
        <v>65000</v>
      </c>
      <c r="N202" s="32">
        <v>8000</v>
      </c>
      <c r="O202" s="35">
        <v>57000</v>
      </c>
      <c r="P202" s="21">
        <v>0</v>
      </c>
      <c r="Q202" s="21">
        <v>0</v>
      </c>
      <c r="R202" s="23">
        <v>0</v>
      </c>
    </row>
    <row r="203" spans="1:18" x14ac:dyDescent="0.35">
      <c r="A203" s="24" t="s">
        <v>63</v>
      </c>
      <c r="B203" s="33" t="s">
        <v>257</v>
      </c>
      <c r="C203" s="26" t="s">
        <v>769</v>
      </c>
      <c r="D203" s="13" t="s">
        <v>770</v>
      </c>
      <c r="E203" s="13" t="s">
        <v>2139</v>
      </c>
      <c r="F203" s="22">
        <v>499</v>
      </c>
      <c r="G203" s="22">
        <v>1000</v>
      </c>
      <c r="H203" s="27" t="s">
        <v>52</v>
      </c>
      <c r="I203" s="13" t="s">
        <v>42</v>
      </c>
      <c r="J203" s="28">
        <v>2022</v>
      </c>
      <c r="K203" s="34" t="s">
        <v>47</v>
      </c>
      <c r="L203" s="30" t="s">
        <v>771</v>
      </c>
      <c r="M203" s="31">
        <v>95000</v>
      </c>
      <c r="N203" s="32">
        <v>5000</v>
      </c>
      <c r="O203" s="21">
        <v>0</v>
      </c>
      <c r="P203" s="21">
        <v>90000</v>
      </c>
      <c r="Q203" s="21">
        <v>0</v>
      </c>
      <c r="R203" s="23">
        <v>0</v>
      </c>
    </row>
    <row r="204" spans="1:18" x14ac:dyDescent="0.35">
      <c r="A204" s="24" t="s">
        <v>100</v>
      </c>
      <c r="B204" s="33" t="s">
        <v>118</v>
      </c>
      <c r="C204" s="26" t="s">
        <v>772</v>
      </c>
      <c r="D204" s="13" t="s">
        <v>773</v>
      </c>
      <c r="E204" s="20" t="s">
        <v>774</v>
      </c>
      <c r="F204" s="22">
        <v>500</v>
      </c>
      <c r="G204" s="22">
        <v>0</v>
      </c>
      <c r="H204" s="27" t="s">
        <v>33</v>
      </c>
      <c r="I204" s="40" t="s">
        <v>42</v>
      </c>
      <c r="J204" s="28">
        <v>2016</v>
      </c>
      <c r="K204" s="29" t="s">
        <v>47</v>
      </c>
      <c r="L204" s="30" t="s">
        <v>775</v>
      </c>
      <c r="M204" s="31">
        <v>13000</v>
      </c>
      <c r="N204" s="32">
        <v>0</v>
      </c>
      <c r="O204" s="35">
        <v>0</v>
      </c>
      <c r="P204" s="60">
        <v>13000</v>
      </c>
      <c r="Q204" s="21">
        <v>0</v>
      </c>
      <c r="R204" s="23">
        <v>0</v>
      </c>
    </row>
    <row r="205" spans="1:18" x14ac:dyDescent="0.35">
      <c r="A205" s="24" t="s">
        <v>48</v>
      </c>
      <c r="B205" s="33" t="s">
        <v>75</v>
      </c>
      <c r="C205" s="26" t="s">
        <v>2055</v>
      </c>
      <c r="D205" s="13" t="s">
        <v>776</v>
      </c>
      <c r="E205" s="20" t="s">
        <v>777</v>
      </c>
      <c r="F205" s="22">
        <v>450</v>
      </c>
      <c r="G205" s="22">
        <v>550</v>
      </c>
      <c r="H205" s="27" t="s">
        <v>52</v>
      </c>
      <c r="I205" s="40" t="s">
        <v>42</v>
      </c>
      <c r="J205" s="28">
        <v>2017</v>
      </c>
      <c r="K205" s="34" t="s">
        <v>34</v>
      </c>
      <c r="L205" s="37" t="s">
        <v>778</v>
      </c>
      <c r="M205" s="31">
        <v>22000</v>
      </c>
      <c r="N205" s="32">
        <v>0</v>
      </c>
      <c r="O205" s="21">
        <v>22000</v>
      </c>
      <c r="P205" s="21">
        <v>0</v>
      </c>
      <c r="Q205" s="21">
        <v>0</v>
      </c>
      <c r="R205" s="23">
        <v>0</v>
      </c>
    </row>
    <row r="206" spans="1:18" x14ac:dyDescent="0.35">
      <c r="A206" s="24" t="s">
        <v>94</v>
      </c>
      <c r="B206" s="33" t="s">
        <v>95</v>
      </c>
      <c r="C206" s="44" t="s">
        <v>2069</v>
      </c>
      <c r="D206" s="13" t="s">
        <v>779</v>
      </c>
      <c r="E206" s="20" t="s">
        <v>780</v>
      </c>
      <c r="F206" s="22">
        <v>1900</v>
      </c>
      <c r="G206" s="22">
        <v>0</v>
      </c>
      <c r="H206" s="27" t="s">
        <v>33</v>
      </c>
      <c r="I206" s="40" t="s">
        <v>42</v>
      </c>
      <c r="J206" s="28">
        <v>2010</v>
      </c>
      <c r="K206" s="29" t="s">
        <v>47</v>
      </c>
      <c r="L206" s="30" t="s">
        <v>90</v>
      </c>
      <c r="M206" s="31">
        <v>105000</v>
      </c>
      <c r="N206" s="32">
        <v>0</v>
      </c>
      <c r="O206" s="35">
        <v>0</v>
      </c>
      <c r="P206" s="21">
        <v>61000</v>
      </c>
      <c r="Q206" s="21">
        <v>0</v>
      </c>
      <c r="R206" s="23">
        <v>44000</v>
      </c>
    </row>
    <row r="207" spans="1:18" x14ac:dyDescent="0.35">
      <c r="A207" s="24" t="s">
        <v>91</v>
      </c>
      <c r="B207" s="33" t="s">
        <v>92</v>
      </c>
      <c r="C207" s="26" t="s">
        <v>781</v>
      </c>
      <c r="D207" s="13" t="s">
        <v>782</v>
      </c>
      <c r="E207" s="20" t="s">
        <v>783</v>
      </c>
      <c r="F207" s="22">
        <v>495</v>
      </c>
      <c r="G207" s="22">
        <v>550</v>
      </c>
      <c r="H207" s="27" t="s">
        <v>52</v>
      </c>
      <c r="I207" s="40" t="s">
        <v>42</v>
      </c>
      <c r="J207" s="28">
        <v>2012</v>
      </c>
      <c r="K207" s="34" t="s">
        <v>34</v>
      </c>
      <c r="L207" s="37" t="s">
        <v>784</v>
      </c>
      <c r="M207" s="31">
        <v>40500</v>
      </c>
      <c r="N207" s="32">
        <v>0</v>
      </c>
      <c r="O207" s="21">
        <v>40500</v>
      </c>
      <c r="P207" s="35">
        <v>0</v>
      </c>
      <c r="Q207" s="21">
        <v>0</v>
      </c>
      <c r="R207" s="23">
        <v>0</v>
      </c>
    </row>
    <row r="208" spans="1:18" x14ac:dyDescent="0.35">
      <c r="A208" s="24" t="s">
        <v>35</v>
      </c>
      <c r="B208" s="33" t="s">
        <v>260</v>
      </c>
      <c r="C208" s="26" t="s">
        <v>785</v>
      </c>
      <c r="D208" s="13" t="s">
        <v>786</v>
      </c>
      <c r="E208" s="20" t="s">
        <v>787</v>
      </c>
      <c r="F208" s="22">
        <v>1519</v>
      </c>
      <c r="G208" s="22">
        <v>0</v>
      </c>
      <c r="H208" s="27" t="s">
        <v>33</v>
      </c>
      <c r="I208" s="40" t="s">
        <v>42</v>
      </c>
      <c r="J208" s="28">
        <v>2010</v>
      </c>
      <c r="K208" s="29" t="s">
        <v>47</v>
      </c>
      <c r="L208" s="30" t="s">
        <v>152</v>
      </c>
      <c r="M208" s="31">
        <v>49000</v>
      </c>
      <c r="N208" s="32">
        <v>0</v>
      </c>
      <c r="O208" s="35">
        <v>0</v>
      </c>
      <c r="P208" s="21">
        <v>49000</v>
      </c>
      <c r="Q208" s="35">
        <v>0</v>
      </c>
      <c r="R208" s="23">
        <v>0</v>
      </c>
    </row>
    <row r="209" spans="1:18" x14ac:dyDescent="0.35">
      <c r="A209" s="24" t="s">
        <v>91</v>
      </c>
      <c r="B209" s="33" t="s">
        <v>383</v>
      </c>
      <c r="C209" s="26" t="s">
        <v>788</v>
      </c>
      <c r="D209" s="13" t="s">
        <v>789</v>
      </c>
      <c r="E209" s="20" t="s">
        <v>790</v>
      </c>
      <c r="F209" s="22">
        <v>50</v>
      </c>
      <c r="G209" s="22">
        <v>0</v>
      </c>
      <c r="H209" s="27" t="s">
        <v>33</v>
      </c>
      <c r="I209" s="40" t="s">
        <v>42</v>
      </c>
      <c r="J209" s="28">
        <v>2014</v>
      </c>
      <c r="K209" s="29" t="s">
        <v>34</v>
      </c>
      <c r="L209" s="30" t="s">
        <v>311</v>
      </c>
      <c r="M209" s="31">
        <v>1100</v>
      </c>
      <c r="N209" s="32">
        <v>0</v>
      </c>
      <c r="O209" s="35">
        <v>1100</v>
      </c>
      <c r="P209" s="21">
        <v>0</v>
      </c>
      <c r="Q209" s="21">
        <v>0</v>
      </c>
      <c r="R209" s="23">
        <v>0</v>
      </c>
    </row>
    <row r="210" spans="1:18" x14ac:dyDescent="0.35">
      <c r="A210" s="24" t="s">
        <v>91</v>
      </c>
      <c r="B210" s="33" t="s">
        <v>295</v>
      </c>
      <c r="C210" s="26" t="s">
        <v>791</v>
      </c>
      <c r="D210" s="13" t="s">
        <v>792</v>
      </c>
      <c r="E210" s="20" t="s">
        <v>793</v>
      </c>
      <c r="F210" s="22">
        <v>400</v>
      </c>
      <c r="G210" s="22">
        <v>0</v>
      </c>
      <c r="H210" s="27" t="s">
        <v>33</v>
      </c>
      <c r="I210" s="40" t="s">
        <v>42</v>
      </c>
      <c r="J210" s="28">
        <v>2018</v>
      </c>
      <c r="K210" s="29" t="s">
        <v>34</v>
      </c>
      <c r="L210" s="30" t="s">
        <v>794</v>
      </c>
      <c r="M210" s="31">
        <v>15552</v>
      </c>
      <c r="N210" s="32">
        <v>8632</v>
      </c>
      <c r="O210" s="21">
        <v>6920</v>
      </c>
      <c r="P210" s="21">
        <v>0</v>
      </c>
      <c r="Q210" s="21">
        <v>0</v>
      </c>
      <c r="R210" s="23">
        <v>0</v>
      </c>
    </row>
    <row r="211" spans="1:18" ht="10.5" customHeight="1" x14ac:dyDescent="0.35">
      <c r="A211" s="24" t="s">
        <v>94</v>
      </c>
      <c r="B211" s="33" t="s">
        <v>439</v>
      </c>
      <c r="C211" s="42" t="s">
        <v>2080</v>
      </c>
      <c r="D211" s="13" t="s">
        <v>796</v>
      </c>
      <c r="E211" s="20" t="s">
        <v>797</v>
      </c>
      <c r="F211" s="22">
        <v>499</v>
      </c>
      <c r="G211" s="22">
        <v>0</v>
      </c>
      <c r="H211" s="27" t="s">
        <v>33</v>
      </c>
      <c r="I211" s="40" t="s">
        <v>42</v>
      </c>
      <c r="J211" s="28">
        <v>2014</v>
      </c>
      <c r="K211" s="34" t="s">
        <v>47</v>
      </c>
      <c r="L211" s="30" t="s">
        <v>798</v>
      </c>
      <c r="M211" s="31">
        <v>25000</v>
      </c>
      <c r="N211" s="32">
        <v>0</v>
      </c>
      <c r="O211" s="35">
        <v>0</v>
      </c>
      <c r="P211" s="21">
        <v>0</v>
      </c>
      <c r="Q211" s="21">
        <v>0</v>
      </c>
      <c r="R211" s="23">
        <v>25000</v>
      </c>
    </row>
    <row r="212" spans="1:18" x14ac:dyDescent="0.35">
      <c r="A212" s="24" t="s">
        <v>91</v>
      </c>
      <c r="B212" s="33" t="s">
        <v>295</v>
      </c>
      <c r="C212" s="26" t="s">
        <v>799</v>
      </c>
      <c r="D212" s="13" t="s">
        <v>800</v>
      </c>
      <c r="E212" s="20" t="s">
        <v>801</v>
      </c>
      <c r="F212" s="22">
        <v>185</v>
      </c>
      <c r="G212" s="22">
        <v>0</v>
      </c>
      <c r="H212" s="27" t="s">
        <v>33</v>
      </c>
      <c r="I212" s="40" t="s">
        <v>42</v>
      </c>
      <c r="J212" s="28">
        <v>2015</v>
      </c>
      <c r="K212" s="29" t="s">
        <v>34</v>
      </c>
      <c r="L212" s="30" t="s">
        <v>802</v>
      </c>
      <c r="M212" s="31">
        <v>5095</v>
      </c>
      <c r="N212" s="32">
        <v>1095</v>
      </c>
      <c r="O212" s="35">
        <v>4000</v>
      </c>
      <c r="P212" s="21">
        <v>0</v>
      </c>
      <c r="Q212" s="21">
        <v>0</v>
      </c>
      <c r="R212" s="23">
        <v>0</v>
      </c>
    </row>
    <row r="213" spans="1:18" x14ac:dyDescent="0.35">
      <c r="A213" s="24" t="s">
        <v>85</v>
      </c>
      <c r="B213" s="25" t="s">
        <v>330</v>
      </c>
      <c r="C213" s="26" t="s">
        <v>32</v>
      </c>
      <c r="D213" s="13" t="s">
        <v>803</v>
      </c>
      <c r="E213" s="20" t="s">
        <v>804</v>
      </c>
      <c r="F213" s="22">
        <v>1189</v>
      </c>
      <c r="G213" s="22">
        <v>0</v>
      </c>
      <c r="H213" s="27" t="s">
        <v>33</v>
      </c>
      <c r="I213" s="13" t="s">
        <v>42</v>
      </c>
      <c r="J213" s="28">
        <v>2016</v>
      </c>
      <c r="K213" s="29" t="s">
        <v>47</v>
      </c>
      <c r="L213" s="30" t="s">
        <v>805</v>
      </c>
      <c r="M213" s="31">
        <v>18615</v>
      </c>
      <c r="N213" s="32">
        <v>0</v>
      </c>
      <c r="O213" s="35">
        <v>0</v>
      </c>
      <c r="P213" s="21">
        <v>0</v>
      </c>
      <c r="Q213" s="21">
        <v>0</v>
      </c>
      <c r="R213" s="23">
        <v>18615</v>
      </c>
    </row>
    <row r="214" spans="1:18" ht="10.5" customHeight="1" x14ac:dyDescent="0.35">
      <c r="A214" s="24" t="s">
        <v>38</v>
      </c>
      <c r="B214" s="33" t="s">
        <v>39</v>
      </c>
      <c r="C214" s="26" t="s">
        <v>806</v>
      </c>
      <c r="D214" s="13" t="s">
        <v>807</v>
      </c>
      <c r="E214" s="20" t="s">
        <v>808</v>
      </c>
      <c r="F214" s="22">
        <v>484</v>
      </c>
      <c r="G214" s="22">
        <v>0</v>
      </c>
      <c r="H214" s="27" t="s">
        <v>33</v>
      </c>
      <c r="I214" s="40" t="s">
        <v>42</v>
      </c>
      <c r="J214" s="28">
        <v>2014</v>
      </c>
      <c r="K214" s="29" t="s">
        <v>34</v>
      </c>
      <c r="L214" s="30" t="s">
        <v>267</v>
      </c>
      <c r="M214" s="31">
        <v>20000</v>
      </c>
      <c r="N214" s="32">
        <v>0</v>
      </c>
      <c r="O214" s="35">
        <v>20000</v>
      </c>
      <c r="P214" s="21">
        <v>0</v>
      </c>
      <c r="Q214" s="21">
        <v>0</v>
      </c>
      <c r="R214" s="23">
        <v>0</v>
      </c>
    </row>
    <row r="215" spans="1:18" ht="10.5" customHeight="1" x14ac:dyDescent="0.35">
      <c r="A215" s="24" t="s">
        <v>63</v>
      </c>
      <c r="B215" s="25" t="s">
        <v>205</v>
      </c>
      <c r="C215" s="26" t="s">
        <v>2073</v>
      </c>
      <c r="D215" s="13" t="s">
        <v>809</v>
      </c>
      <c r="E215" s="20" t="s">
        <v>810</v>
      </c>
      <c r="F215" s="22">
        <v>237</v>
      </c>
      <c r="G215" s="22">
        <v>330</v>
      </c>
      <c r="H215" s="27" t="s">
        <v>52</v>
      </c>
      <c r="I215" s="40" t="s">
        <v>42</v>
      </c>
      <c r="J215" s="28">
        <v>2014</v>
      </c>
      <c r="K215" s="34" t="s">
        <v>34</v>
      </c>
      <c r="L215" s="30" t="s">
        <v>811</v>
      </c>
      <c r="M215" s="31">
        <v>35000</v>
      </c>
      <c r="N215" s="32">
        <v>20000</v>
      </c>
      <c r="O215" s="35">
        <v>0</v>
      </c>
      <c r="P215" s="35">
        <v>15000</v>
      </c>
      <c r="Q215" s="21">
        <v>0</v>
      </c>
      <c r="R215" s="23">
        <v>0</v>
      </c>
    </row>
    <row r="216" spans="1:18" ht="10.5" customHeight="1" x14ac:dyDescent="0.35">
      <c r="A216" s="24" t="s">
        <v>48</v>
      </c>
      <c r="B216" s="25" t="s">
        <v>75</v>
      </c>
      <c r="C216" s="36" t="s">
        <v>316</v>
      </c>
      <c r="D216" s="13" t="s">
        <v>812</v>
      </c>
      <c r="E216" s="20" t="s">
        <v>813</v>
      </c>
      <c r="F216" s="22">
        <v>4000</v>
      </c>
      <c r="G216" s="22">
        <v>0</v>
      </c>
      <c r="H216" s="27" t="s">
        <v>33</v>
      </c>
      <c r="I216" s="40" t="s">
        <v>42</v>
      </c>
      <c r="J216" s="28">
        <v>2013</v>
      </c>
      <c r="K216" s="29" t="s">
        <v>47</v>
      </c>
      <c r="L216" s="30" t="s">
        <v>152</v>
      </c>
      <c r="M216" s="31">
        <v>100000</v>
      </c>
      <c r="N216" s="32">
        <v>0</v>
      </c>
      <c r="O216" s="35">
        <v>0</v>
      </c>
      <c r="P216" s="21">
        <v>100000</v>
      </c>
      <c r="Q216" s="21">
        <v>0</v>
      </c>
      <c r="R216" s="23">
        <v>0</v>
      </c>
    </row>
    <row r="217" spans="1:18" x14ac:dyDescent="0.35">
      <c r="A217" s="24" t="s">
        <v>100</v>
      </c>
      <c r="B217" s="33" t="s">
        <v>101</v>
      </c>
      <c r="C217" s="26" t="s">
        <v>816</v>
      </c>
      <c r="D217" s="13" t="s">
        <v>817</v>
      </c>
      <c r="E217" s="20" t="s">
        <v>818</v>
      </c>
      <c r="F217" s="22">
        <v>82</v>
      </c>
      <c r="G217" s="22">
        <v>0</v>
      </c>
      <c r="H217" s="27" t="s">
        <v>33</v>
      </c>
      <c r="I217" s="40" t="s">
        <v>42</v>
      </c>
      <c r="J217" s="28">
        <v>2017</v>
      </c>
      <c r="K217" s="29" t="s">
        <v>34</v>
      </c>
      <c r="L217" s="30" t="s">
        <v>522</v>
      </c>
      <c r="M217" s="31">
        <v>3500</v>
      </c>
      <c r="N217" s="32">
        <v>3500</v>
      </c>
      <c r="O217" s="21">
        <v>0</v>
      </c>
      <c r="P217" s="35">
        <v>0</v>
      </c>
      <c r="Q217" s="21">
        <v>0</v>
      </c>
      <c r="R217" s="23">
        <v>0</v>
      </c>
    </row>
    <row r="218" spans="1:18" ht="10.5" customHeight="1" x14ac:dyDescent="0.35">
      <c r="A218" s="24" t="s">
        <v>48</v>
      </c>
      <c r="B218" s="33" t="s">
        <v>210</v>
      </c>
      <c r="C218" s="26" t="s">
        <v>819</v>
      </c>
      <c r="D218" s="13" t="s">
        <v>820</v>
      </c>
      <c r="E218" s="20" t="s">
        <v>821</v>
      </c>
      <c r="F218" s="22">
        <v>195</v>
      </c>
      <c r="G218" s="22">
        <v>0</v>
      </c>
      <c r="H218" s="27" t="s">
        <v>33</v>
      </c>
      <c r="I218" s="40" t="s">
        <v>42</v>
      </c>
      <c r="J218" s="28">
        <v>2015</v>
      </c>
      <c r="K218" s="29" t="s">
        <v>34</v>
      </c>
      <c r="L218" s="30" t="s">
        <v>65</v>
      </c>
      <c r="M218" s="31">
        <v>10000</v>
      </c>
      <c r="N218" s="32">
        <v>4600</v>
      </c>
      <c r="O218" s="35">
        <v>5400</v>
      </c>
      <c r="P218" s="21">
        <v>0</v>
      </c>
      <c r="Q218" s="21">
        <v>0</v>
      </c>
      <c r="R218" s="23">
        <v>0</v>
      </c>
    </row>
    <row r="219" spans="1:18" ht="10.5" customHeight="1" x14ac:dyDescent="0.35">
      <c r="A219" s="24" t="s">
        <v>63</v>
      </c>
      <c r="B219" s="33" t="s">
        <v>257</v>
      </c>
      <c r="C219" s="26" t="s">
        <v>822</v>
      </c>
      <c r="D219" s="13" t="s">
        <v>823</v>
      </c>
      <c r="E219" s="20" t="s">
        <v>824</v>
      </c>
      <c r="F219" s="22">
        <v>50</v>
      </c>
      <c r="G219" s="22">
        <v>0</v>
      </c>
      <c r="H219" s="27" t="s">
        <v>33</v>
      </c>
      <c r="I219" s="40" t="s">
        <v>42</v>
      </c>
      <c r="J219" s="28" t="s">
        <v>93</v>
      </c>
      <c r="K219" s="29" t="s">
        <v>34</v>
      </c>
      <c r="L219" s="30" t="s">
        <v>496</v>
      </c>
      <c r="M219" s="31">
        <v>1000</v>
      </c>
      <c r="N219" s="32">
        <v>1000</v>
      </c>
      <c r="O219" s="35">
        <v>0</v>
      </c>
      <c r="P219" s="21">
        <v>0</v>
      </c>
      <c r="Q219" s="21">
        <v>0</v>
      </c>
      <c r="R219" s="23">
        <v>0</v>
      </c>
    </row>
    <row r="220" spans="1:18" ht="10.5" customHeight="1" x14ac:dyDescent="0.35">
      <c r="A220" s="24" t="s">
        <v>94</v>
      </c>
      <c r="B220" s="33" t="s">
        <v>143</v>
      </c>
      <c r="C220" s="26" t="s">
        <v>2093</v>
      </c>
      <c r="D220" s="13" t="s">
        <v>825</v>
      </c>
      <c r="E220" s="20" t="s">
        <v>826</v>
      </c>
      <c r="F220" s="22">
        <v>250</v>
      </c>
      <c r="G220" s="22">
        <v>450</v>
      </c>
      <c r="H220" s="27" t="s">
        <v>214</v>
      </c>
      <c r="I220" s="40" t="s">
        <v>42</v>
      </c>
      <c r="J220" s="28">
        <v>2021</v>
      </c>
      <c r="K220" s="29" t="s">
        <v>34</v>
      </c>
      <c r="L220" s="30" t="s">
        <v>975</v>
      </c>
      <c r="M220" s="31">
        <v>36000</v>
      </c>
      <c r="N220" s="32">
        <v>0</v>
      </c>
      <c r="O220" s="35">
        <v>0</v>
      </c>
      <c r="P220" s="21">
        <v>0</v>
      </c>
      <c r="Q220" s="21">
        <v>36000</v>
      </c>
      <c r="R220" s="23">
        <v>0</v>
      </c>
    </row>
    <row r="221" spans="1:18" ht="10.5" customHeight="1" x14ac:dyDescent="0.35">
      <c r="A221" s="24" t="s">
        <v>44</v>
      </c>
      <c r="B221" s="33" t="s">
        <v>45</v>
      </c>
      <c r="C221" s="26" t="s">
        <v>828</v>
      </c>
      <c r="D221" s="13" t="s">
        <v>2128</v>
      </c>
      <c r="E221" s="20" t="s">
        <v>827</v>
      </c>
      <c r="F221" s="22">
        <v>250</v>
      </c>
      <c r="G221" s="22">
        <v>0</v>
      </c>
      <c r="H221" s="27" t="s">
        <v>33</v>
      </c>
      <c r="I221" s="40" t="s">
        <v>42</v>
      </c>
      <c r="J221" s="28" t="s">
        <v>93</v>
      </c>
      <c r="K221" s="29" t="s">
        <v>34</v>
      </c>
      <c r="L221" s="30" t="s">
        <v>829</v>
      </c>
      <c r="M221" s="31">
        <v>2900</v>
      </c>
      <c r="N221" s="32">
        <v>100</v>
      </c>
      <c r="O221" s="21">
        <v>2800</v>
      </c>
      <c r="P221" s="21">
        <v>0</v>
      </c>
      <c r="Q221" s="21">
        <v>0</v>
      </c>
      <c r="R221" s="23">
        <v>0</v>
      </c>
    </row>
    <row r="222" spans="1:18" ht="10.5" customHeight="1" x14ac:dyDescent="0.35">
      <c r="A222" s="24" t="s">
        <v>30</v>
      </c>
      <c r="B222" s="33" t="s">
        <v>662</v>
      </c>
      <c r="C222" s="26" t="s">
        <v>830</v>
      </c>
      <c r="D222" s="13" t="s">
        <v>831</v>
      </c>
      <c r="E222" s="13" t="s">
        <v>832</v>
      </c>
      <c r="F222" s="35">
        <v>460</v>
      </c>
      <c r="G222" s="22">
        <v>0</v>
      </c>
      <c r="H222" s="27" t="s">
        <v>33</v>
      </c>
      <c r="I222" s="40" t="s">
        <v>42</v>
      </c>
      <c r="J222" s="28">
        <v>2006</v>
      </c>
      <c r="K222" s="29" t="s">
        <v>34</v>
      </c>
      <c r="L222" s="30" t="s">
        <v>833</v>
      </c>
      <c r="M222" s="31">
        <v>15000</v>
      </c>
      <c r="N222" s="32">
        <v>12000</v>
      </c>
      <c r="O222" s="35">
        <v>0</v>
      </c>
      <c r="P222" s="21">
        <v>0</v>
      </c>
      <c r="Q222" s="21">
        <v>0</v>
      </c>
      <c r="R222" s="23">
        <v>3000</v>
      </c>
    </row>
    <row r="223" spans="1:18" ht="10.5" customHeight="1" x14ac:dyDescent="0.35">
      <c r="A223" s="24" t="s">
        <v>63</v>
      </c>
      <c r="B223" s="33" t="s">
        <v>134</v>
      </c>
      <c r="C223" s="26" t="s">
        <v>135</v>
      </c>
      <c r="D223" s="13" t="s">
        <v>834</v>
      </c>
      <c r="E223" s="20" t="s">
        <v>835</v>
      </c>
      <c r="F223" s="22">
        <v>138</v>
      </c>
      <c r="G223" s="22">
        <v>0</v>
      </c>
      <c r="H223" s="27" t="s">
        <v>33</v>
      </c>
      <c r="I223" s="40" t="s">
        <v>42</v>
      </c>
      <c r="J223" s="28">
        <v>2014</v>
      </c>
      <c r="K223" s="29" t="s">
        <v>34</v>
      </c>
      <c r="L223" s="30" t="s">
        <v>836</v>
      </c>
      <c r="M223" s="31">
        <v>4223</v>
      </c>
      <c r="N223" s="32">
        <v>0</v>
      </c>
      <c r="O223" s="35">
        <v>4223</v>
      </c>
      <c r="P223" s="21">
        <v>0</v>
      </c>
      <c r="Q223" s="21">
        <v>0</v>
      </c>
      <c r="R223" s="23">
        <v>0</v>
      </c>
    </row>
    <row r="224" spans="1:18" x14ac:dyDescent="0.35">
      <c r="A224" s="24" t="s">
        <v>63</v>
      </c>
      <c r="B224" s="33" t="s">
        <v>837</v>
      </c>
      <c r="C224" s="26" t="s">
        <v>838</v>
      </c>
      <c r="D224" s="13" t="s">
        <v>839</v>
      </c>
      <c r="E224" s="20" t="s">
        <v>840</v>
      </c>
      <c r="F224" s="22">
        <v>1750</v>
      </c>
      <c r="G224" s="22">
        <v>1375</v>
      </c>
      <c r="H224" s="27" t="s">
        <v>52</v>
      </c>
      <c r="I224" s="40" t="s">
        <v>42</v>
      </c>
      <c r="J224" s="28">
        <v>2012</v>
      </c>
      <c r="K224" s="29" t="s">
        <v>47</v>
      </c>
      <c r="L224" s="30" t="s">
        <v>152</v>
      </c>
      <c r="M224" s="31">
        <v>60000</v>
      </c>
      <c r="N224" s="32">
        <v>0</v>
      </c>
      <c r="O224" s="35">
        <v>0</v>
      </c>
      <c r="P224" s="21">
        <v>60000</v>
      </c>
      <c r="Q224" s="21">
        <v>0</v>
      </c>
      <c r="R224" s="23">
        <v>0</v>
      </c>
    </row>
    <row r="225" spans="1:18" x14ac:dyDescent="0.35">
      <c r="A225" s="24" t="s">
        <v>30</v>
      </c>
      <c r="B225" s="25" t="s">
        <v>80</v>
      </c>
      <c r="C225" s="36" t="s">
        <v>841</v>
      </c>
      <c r="D225" s="13" t="s">
        <v>842</v>
      </c>
      <c r="E225" s="20" t="s">
        <v>843</v>
      </c>
      <c r="F225" s="22">
        <v>225</v>
      </c>
      <c r="G225" s="22">
        <v>0</v>
      </c>
      <c r="H225" s="27" t="s">
        <v>33</v>
      </c>
      <c r="I225" s="40" t="s">
        <v>42</v>
      </c>
      <c r="J225" s="28">
        <v>2014</v>
      </c>
      <c r="K225" s="29" t="s">
        <v>34</v>
      </c>
      <c r="L225" s="30" t="s">
        <v>844</v>
      </c>
      <c r="M225" s="31">
        <v>17500</v>
      </c>
      <c r="N225" s="32">
        <v>16500</v>
      </c>
      <c r="O225" s="35">
        <v>1000</v>
      </c>
      <c r="P225" s="21">
        <v>0</v>
      </c>
      <c r="Q225" s="21">
        <v>0</v>
      </c>
      <c r="R225" s="23">
        <v>0</v>
      </c>
    </row>
    <row r="226" spans="1:18" ht="10.5" customHeight="1" x14ac:dyDescent="0.35">
      <c r="A226" s="24" t="s">
        <v>30</v>
      </c>
      <c r="B226" s="33" t="s">
        <v>80</v>
      </c>
      <c r="C226" s="26" t="s">
        <v>841</v>
      </c>
      <c r="D226" s="13" t="s">
        <v>845</v>
      </c>
      <c r="E226" s="20" t="s">
        <v>843</v>
      </c>
      <c r="F226" s="22">
        <v>237</v>
      </c>
      <c r="G226" s="22">
        <v>0</v>
      </c>
      <c r="H226" s="27" t="s">
        <v>33</v>
      </c>
      <c r="I226" s="40" t="s">
        <v>42</v>
      </c>
      <c r="J226" s="28">
        <v>2015</v>
      </c>
      <c r="K226" s="29" t="s">
        <v>34</v>
      </c>
      <c r="L226" s="30" t="s">
        <v>844</v>
      </c>
      <c r="M226" s="31">
        <v>17500</v>
      </c>
      <c r="N226" s="32">
        <v>16500</v>
      </c>
      <c r="O226" s="35">
        <v>1000</v>
      </c>
      <c r="P226" s="21">
        <v>0</v>
      </c>
      <c r="Q226" s="21">
        <v>0</v>
      </c>
      <c r="R226" s="23">
        <v>0</v>
      </c>
    </row>
    <row r="227" spans="1:18" ht="10.5" customHeight="1" x14ac:dyDescent="0.35">
      <c r="A227" s="24" t="s">
        <v>44</v>
      </c>
      <c r="B227" s="33" t="s">
        <v>45</v>
      </c>
      <c r="C227" s="26" t="s">
        <v>846</v>
      </c>
      <c r="D227" s="13" t="s">
        <v>846</v>
      </c>
      <c r="E227" s="20" t="s">
        <v>847</v>
      </c>
      <c r="F227" s="22">
        <v>500</v>
      </c>
      <c r="G227" s="22">
        <v>0</v>
      </c>
      <c r="H227" s="27" t="s">
        <v>33</v>
      </c>
      <c r="I227" s="40" t="s">
        <v>42</v>
      </c>
      <c r="J227" s="28">
        <v>2015</v>
      </c>
      <c r="K227" s="29" t="s">
        <v>34</v>
      </c>
      <c r="L227" s="30" t="s">
        <v>848</v>
      </c>
      <c r="M227" s="31">
        <v>14000</v>
      </c>
      <c r="N227" s="32">
        <v>2000</v>
      </c>
      <c r="O227" s="35">
        <v>4000</v>
      </c>
      <c r="P227" s="21">
        <v>0</v>
      </c>
      <c r="Q227" s="21">
        <v>8000</v>
      </c>
      <c r="R227" s="23">
        <v>0</v>
      </c>
    </row>
    <row r="228" spans="1:18" x14ac:dyDescent="0.35">
      <c r="A228" s="24" t="s">
        <v>30</v>
      </c>
      <c r="B228" s="33" t="s">
        <v>80</v>
      </c>
      <c r="C228" s="26" t="s">
        <v>849</v>
      </c>
      <c r="D228" s="13" t="s">
        <v>850</v>
      </c>
      <c r="E228" s="20" t="s">
        <v>2155</v>
      </c>
      <c r="F228" s="22">
        <v>7200</v>
      </c>
      <c r="G228" s="22">
        <v>2750</v>
      </c>
      <c r="H228" s="27" t="s">
        <v>52</v>
      </c>
      <c r="I228" s="40" t="s">
        <v>42</v>
      </c>
      <c r="J228" s="28">
        <v>2009</v>
      </c>
      <c r="K228" s="29" t="s">
        <v>47</v>
      </c>
      <c r="L228" s="30" t="s">
        <v>304</v>
      </c>
      <c r="M228" s="31">
        <v>300000</v>
      </c>
      <c r="N228" s="32">
        <v>0</v>
      </c>
      <c r="O228" s="35">
        <v>0</v>
      </c>
      <c r="P228" s="21">
        <v>0</v>
      </c>
      <c r="Q228" s="21">
        <v>0</v>
      </c>
      <c r="R228" s="23">
        <v>300000</v>
      </c>
    </row>
    <row r="229" spans="1:18" x14ac:dyDescent="0.35">
      <c r="A229" s="24" t="s">
        <v>30</v>
      </c>
      <c r="B229" s="33" t="s">
        <v>80</v>
      </c>
      <c r="C229" s="26" t="s">
        <v>852</v>
      </c>
      <c r="D229" s="39" t="s">
        <v>853</v>
      </c>
      <c r="E229" s="13" t="s">
        <v>854</v>
      </c>
      <c r="F229" s="22">
        <v>238</v>
      </c>
      <c r="G229" s="22">
        <v>0</v>
      </c>
      <c r="H229" s="27" t="s">
        <v>33</v>
      </c>
      <c r="I229" s="13" t="s">
        <v>42</v>
      </c>
      <c r="J229" s="28">
        <v>2016</v>
      </c>
      <c r="K229" s="34" t="s">
        <v>34</v>
      </c>
      <c r="L229" s="38" t="s">
        <v>855</v>
      </c>
      <c r="M229" s="31">
        <v>8000</v>
      </c>
      <c r="N229" s="32">
        <v>3000</v>
      </c>
      <c r="O229" s="21">
        <v>5000</v>
      </c>
      <c r="P229" s="21">
        <v>0</v>
      </c>
      <c r="Q229" s="21">
        <v>0</v>
      </c>
      <c r="R229" s="23">
        <v>0</v>
      </c>
    </row>
    <row r="230" spans="1:18" x14ac:dyDescent="0.35">
      <c r="A230" s="24" t="s">
        <v>30</v>
      </c>
      <c r="B230" s="33" t="s">
        <v>80</v>
      </c>
      <c r="C230" s="26" t="s">
        <v>338</v>
      </c>
      <c r="D230" s="13" t="s">
        <v>856</v>
      </c>
      <c r="E230" s="20" t="s">
        <v>857</v>
      </c>
      <c r="F230" s="22">
        <v>98</v>
      </c>
      <c r="G230" s="22">
        <v>0</v>
      </c>
      <c r="H230" s="27" t="s">
        <v>33</v>
      </c>
      <c r="I230" s="40" t="s">
        <v>42</v>
      </c>
      <c r="J230" s="28">
        <v>2016</v>
      </c>
      <c r="K230" s="34" t="s">
        <v>34</v>
      </c>
      <c r="L230" s="30" t="s">
        <v>339</v>
      </c>
      <c r="M230" s="31">
        <v>7000</v>
      </c>
      <c r="N230" s="32">
        <v>5000</v>
      </c>
      <c r="O230" s="35">
        <v>2000</v>
      </c>
      <c r="P230" s="21">
        <v>0</v>
      </c>
      <c r="Q230" s="21">
        <v>0</v>
      </c>
      <c r="R230" s="23">
        <v>0</v>
      </c>
    </row>
    <row r="231" spans="1:18" x14ac:dyDescent="0.35">
      <c r="A231" s="24" t="s">
        <v>100</v>
      </c>
      <c r="B231" s="33" t="s">
        <v>118</v>
      </c>
      <c r="C231" s="26" t="s">
        <v>858</v>
      </c>
      <c r="D231" s="13" t="s">
        <v>859</v>
      </c>
      <c r="E231" s="20" t="s">
        <v>860</v>
      </c>
      <c r="F231" s="22">
        <v>465</v>
      </c>
      <c r="G231" s="22">
        <v>0</v>
      </c>
      <c r="H231" s="27" t="s">
        <v>33</v>
      </c>
      <c r="I231" s="40" t="s">
        <v>42</v>
      </c>
      <c r="J231" s="28">
        <v>2015</v>
      </c>
      <c r="K231" s="29" t="s">
        <v>34</v>
      </c>
      <c r="L231" s="30" t="s">
        <v>861</v>
      </c>
      <c r="M231" s="31">
        <v>9700</v>
      </c>
      <c r="N231" s="32">
        <v>2700</v>
      </c>
      <c r="O231" s="35">
        <v>7000</v>
      </c>
      <c r="P231" s="21">
        <v>0</v>
      </c>
      <c r="Q231" s="21">
        <v>0</v>
      </c>
      <c r="R231" s="23">
        <v>0</v>
      </c>
    </row>
    <row r="232" spans="1:18" x14ac:dyDescent="0.35">
      <c r="A232" s="24" t="s">
        <v>30</v>
      </c>
      <c r="B232" s="33" t="s">
        <v>80</v>
      </c>
      <c r="C232" s="26" t="s">
        <v>262</v>
      </c>
      <c r="D232" s="13" t="s">
        <v>862</v>
      </c>
      <c r="E232" s="20" t="s">
        <v>863</v>
      </c>
      <c r="F232" s="22">
        <v>4000</v>
      </c>
      <c r="G232" s="22">
        <v>0</v>
      </c>
      <c r="H232" s="27" t="s">
        <v>33</v>
      </c>
      <c r="I232" s="40" t="s">
        <v>42</v>
      </c>
      <c r="J232" s="28">
        <v>2016</v>
      </c>
      <c r="K232" s="29" t="s">
        <v>47</v>
      </c>
      <c r="L232" s="30" t="s">
        <v>152</v>
      </c>
      <c r="M232" s="31">
        <v>100000</v>
      </c>
      <c r="N232" s="32">
        <v>0</v>
      </c>
      <c r="O232" s="35">
        <v>0</v>
      </c>
      <c r="P232" s="21">
        <v>100000</v>
      </c>
      <c r="Q232" s="21">
        <v>0</v>
      </c>
      <c r="R232" s="23">
        <v>0</v>
      </c>
    </row>
    <row r="233" spans="1:18" ht="10.5" customHeight="1" x14ac:dyDescent="0.35">
      <c r="A233" s="24" t="s">
        <v>30</v>
      </c>
      <c r="B233" s="33" t="s">
        <v>662</v>
      </c>
      <c r="C233" s="26" t="s">
        <v>458</v>
      </c>
      <c r="D233" s="13" t="s">
        <v>864</v>
      </c>
      <c r="E233" s="20" t="s">
        <v>865</v>
      </c>
      <c r="F233" s="22">
        <v>500</v>
      </c>
      <c r="G233" s="22">
        <v>0</v>
      </c>
      <c r="H233" s="27" t="s">
        <v>33</v>
      </c>
      <c r="I233" s="40" t="s">
        <v>42</v>
      </c>
      <c r="J233" s="28">
        <v>2015</v>
      </c>
      <c r="K233" s="29" t="s">
        <v>47</v>
      </c>
      <c r="L233" s="30" t="s">
        <v>461</v>
      </c>
      <c r="M233" s="31">
        <v>15000</v>
      </c>
      <c r="N233" s="32">
        <v>0</v>
      </c>
      <c r="O233" s="21">
        <v>0</v>
      </c>
      <c r="P233" s="21">
        <v>0</v>
      </c>
      <c r="Q233" s="21">
        <v>0</v>
      </c>
      <c r="R233" s="23">
        <v>15000</v>
      </c>
    </row>
    <row r="234" spans="1:18" x14ac:dyDescent="0.35">
      <c r="A234" s="24" t="s">
        <v>30</v>
      </c>
      <c r="B234" s="25" t="s">
        <v>195</v>
      </c>
      <c r="C234" s="26" t="s">
        <v>866</v>
      </c>
      <c r="D234" s="13" t="s">
        <v>867</v>
      </c>
      <c r="E234" s="20" t="s">
        <v>868</v>
      </c>
      <c r="F234" s="22">
        <v>3500</v>
      </c>
      <c r="G234" s="22">
        <v>1500</v>
      </c>
      <c r="H234" s="27" t="s">
        <v>214</v>
      </c>
      <c r="I234" s="13" t="s">
        <v>42</v>
      </c>
      <c r="J234" s="28">
        <v>2015</v>
      </c>
      <c r="K234" s="29" t="s">
        <v>47</v>
      </c>
      <c r="L234" s="30" t="s">
        <v>199</v>
      </c>
      <c r="M234" s="31">
        <v>80000</v>
      </c>
      <c r="N234" s="32">
        <v>0</v>
      </c>
      <c r="O234" s="35">
        <v>0</v>
      </c>
      <c r="P234" s="21">
        <v>0</v>
      </c>
      <c r="Q234" s="21">
        <v>0</v>
      </c>
      <c r="R234" s="23">
        <v>80000</v>
      </c>
    </row>
    <row r="235" spans="1:18" x14ac:dyDescent="0.35">
      <c r="A235" s="24" t="s">
        <v>30</v>
      </c>
      <c r="B235" s="25" t="s">
        <v>195</v>
      </c>
      <c r="C235" s="36" t="s">
        <v>869</v>
      </c>
      <c r="D235" s="13" t="s">
        <v>870</v>
      </c>
      <c r="E235" s="20" t="s">
        <v>2154</v>
      </c>
      <c r="F235" s="22" t="s">
        <v>93</v>
      </c>
      <c r="G235" s="22">
        <v>0</v>
      </c>
      <c r="H235" s="27" t="s">
        <v>615</v>
      </c>
      <c r="I235" s="40" t="s">
        <v>42</v>
      </c>
      <c r="J235" s="28">
        <v>2015</v>
      </c>
      <c r="K235" s="34" t="s">
        <v>47</v>
      </c>
      <c r="L235" s="30" t="s">
        <v>461</v>
      </c>
      <c r="M235" s="31">
        <v>50000</v>
      </c>
      <c r="N235" s="32">
        <v>0</v>
      </c>
      <c r="O235" s="35">
        <v>0</v>
      </c>
      <c r="P235" s="21">
        <v>0</v>
      </c>
      <c r="Q235" s="21">
        <v>0</v>
      </c>
      <c r="R235" s="23">
        <v>50000</v>
      </c>
    </row>
    <row r="236" spans="1:18" x14ac:dyDescent="0.35">
      <c r="A236" s="24" t="s">
        <v>44</v>
      </c>
      <c r="B236" s="33" t="s">
        <v>54</v>
      </c>
      <c r="C236" s="26" t="s">
        <v>871</v>
      </c>
      <c r="D236" s="13" t="s">
        <v>872</v>
      </c>
      <c r="E236" s="20" t="s">
        <v>873</v>
      </c>
      <c r="F236" s="22">
        <v>500</v>
      </c>
      <c r="G236" s="22">
        <v>0</v>
      </c>
      <c r="H236" s="27" t="s">
        <v>33</v>
      </c>
      <c r="I236" s="13" t="s">
        <v>42</v>
      </c>
      <c r="J236" s="28">
        <v>2014</v>
      </c>
      <c r="K236" s="29" t="s">
        <v>34</v>
      </c>
      <c r="L236" s="30" t="s">
        <v>303</v>
      </c>
      <c r="M236" s="31">
        <v>21900</v>
      </c>
      <c r="N236" s="32">
        <v>14600</v>
      </c>
      <c r="O236" s="35">
        <v>7300</v>
      </c>
      <c r="P236" s="21">
        <v>0</v>
      </c>
      <c r="Q236" s="21">
        <v>0</v>
      </c>
      <c r="R236" s="23">
        <v>0</v>
      </c>
    </row>
    <row r="237" spans="1:18" x14ac:dyDescent="0.35">
      <c r="A237" s="24" t="s">
        <v>35</v>
      </c>
      <c r="B237" s="33" t="s">
        <v>260</v>
      </c>
      <c r="C237" s="26" t="s">
        <v>874</v>
      </c>
      <c r="D237" s="13" t="s">
        <v>875</v>
      </c>
      <c r="E237" s="20" t="s">
        <v>541</v>
      </c>
      <c r="F237" s="22">
        <v>200</v>
      </c>
      <c r="G237" s="22">
        <v>0</v>
      </c>
      <c r="H237" s="27" t="s">
        <v>33</v>
      </c>
      <c r="I237" s="40" t="s">
        <v>42</v>
      </c>
      <c r="J237" s="28">
        <v>2014</v>
      </c>
      <c r="K237" s="34" t="s">
        <v>47</v>
      </c>
      <c r="L237" s="37" t="s">
        <v>876</v>
      </c>
      <c r="M237" s="31">
        <v>3650</v>
      </c>
      <c r="N237" s="32">
        <v>0</v>
      </c>
      <c r="O237" s="21">
        <v>0</v>
      </c>
      <c r="P237" s="35">
        <v>3000</v>
      </c>
      <c r="Q237" s="21">
        <v>0</v>
      </c>
      <c r="R237" s="23">
        <v>650</v>
      </c>
    </row>
    <row r="238" spans="1:18" x14ac:dyDescent="0.35">
      <c r="A238" s="24" t="s">
        <v>63</v>
      </c>
      <c r="B238" s="33" t="s">
        <v>382</v>
      </c>
      <c r="C238" s="26" t="s">
        <v>524</v>
      </c>
      <c r="D238" s="13" t="s">
        <v>2114</v>
      </c>
      <c r="E238" s="20" t="s">
        <v>764</v>
      </c>
      <c r="F238" s="22">
        <v>500</v>
      </c>
      <c r="G238" s="22">
        <v>400</v>
      </c>
      <c r="H238" s="27" t="s">
        <v>52</v>
      </c>
      <c r="I238" s="40" t="s">
        <v>42</v>
      </c>
      <c r="J238" s="28">
        <v>2015</v>
      </c>
      <c r="K238" s="29" t="s">
        <v>34</v>
      </c>
      <c r="L238" s="30" t="s">
        <v>765</v>
      </c>
      <c r="M238" s="31">
        <v>66171</v>
      </c>
      <c r="N238" s="32">
        <v>30882</v>
      </c>
      <c r="O238" s="21">
        <v>35289</v>
      </c>
      <c r="P238" s="35">
        <v>0</v>
      </c>
      <c r="Q238" s="21">
        <v>0</v>
      </c>
      <c r="R238" s="23">
        <v>0</v>
      </c>
    </row>
    <row r="239" spans="1:18" x14ac:dyDescent="0.35">
      <c r="A239" s="24" t="s">
        <v>44</v>
      </c>
      <c r="B239" s="33" t="s">
        <v>45</v>
      </c>
      <c r="C239" s="26" t="s">
        <v>877</v>
      </c>
      <c r="D239" s="13" t="s">
        <v>878</v>
      </c>
      <c r="E239" s="20" t="s">
        <v>879</v>
      </c>
      <c r="F239" s="22" t="s">
        <v>93</v>
      </c>
      <c r="G239" s="22">
        <v>0</v>
      </c>
      <c r="H239" s="27" t="s">
        <v>2176</v>
      </c>
      <c r="I239" s="13" t="s">
        <v>42</v>
      </c>
      <c r="J239" s="28">
        <v>2018</v>
      </c>
      <c r="K239" s="34" t="s">
        <v>34</v>
      </c>
      <c r="L239" s="30" t="s">
        <v>324</v>
      </c>
      <c r="M239" s="31">
        <v>0</v>
      </c>
      <c r="N239" s="32">
        <v>0</v>
      </c>
      <c r="O239" s="21">
        <v>0</v>
      </c>
      <c r="P239" s="35">
        <v>0</v>
      </c>
      <c r="Q239" s="21">
        <v>0</v>
      </c>
      <c r="R239" s="23">
        <v>0</v>
      </c>
    </row>
    <row r="240" spans="1:18" x14ac:dyDescent="0.35">
      <c r="A240" s="24" t="s">
        <v>44</v>
      </c>
      <c r="B240" s="33" t="s">
        <v>106</v>
      </c>
      <c r="C240" s="26" t="s">
        <v>166</v>
      </c>
      <c r="D240" s="13" t="s">
        <v>2127</v>
      </c>
      <c r="E240" s="20" t="s">
        <v>167</v>
      </c>
      <c r="F240" s="22">
        <v>500</v>
      </c>
      <c r="G240" s="22">
        <v>0</v>
      </c>
      <c r="H240" s="27" t="s">
        <v>33</v>
      </c>
      <c r="I240" s="40" t="s">
        <v>42</v>
      </c>
      <c r="J240" s="28">
        <v>2017</v>
      </c>
      <c r="K240" s="29" t="s">
        <v>34</v>
      </c>
      <c r="L240" s="30" t="s">
        <v>61</v>
      </c>
      <c r="M240" s="31">
        <v>13100</v>
      </c>
      <c r="N240" s="32">
        <v>2100</v>
      </c>
      <c r="O240" s="35">
        <v>11000</v>
      </c>
      <c r="P240" s="21">
        <v>0</v>
      </c>
      <c r="Q240" s="21">
        <v>0</v>
      </c>
      <c r="R240" s="23">
        <v>0</v>
      </c>
    </row>
    <row r="241" spans="1:18" x14ac:dyDescent="0.35">
      <c r="A241" s="24" t="s">
        <v>44</v>
      </c>
      <c r="B241" s="33" t="s">
        <v>106</v>
      </c>
      <c r="C241" s="26" t="s">
        <v>880</v>
      </c>
      <c r="D241" s="13" t="s">
        <v>881</v>
      </c>
      <c r="E241" s="20" t="s">
        <v>882</v>
      </c>
      <c r="F241" s="22">
        <v>330</v>
      </c>
      <c r="G241" s="22">
        <v>0</v>
      </c>
      <c r="H241" s="27" t="s">
        <v>33</v>
      </c>
      <c r="I241" s="40" t="s">
        <v>42</v>
      </c>
      <c r="J241" s="28">
        <v>2016</v>
      </c>
      <c r="K241" s="34" t="s">
        <v>34</v>
      </c>
      <c r="L241" s="30" t="s">
        <v>161</v>
      </c>
      <c r="M241" s="31">
        <v>6200</v>
      </c>
      <c r="N241" s="32">
        <v>2900</v>
      </c>
      <c r="O241" s="35">
        <v>3300</v>
      </c>
      <c r="P241" s="21">
        <v>0</v>
      </c>
      <c r="Q241" s="35">
        <v>0</v>
      </c>
      <c r="R241" s="23">
        <v>0</v>
      </c>
    </row>
    <row r="242" spans="1:18" x14ac:dyDescent="0.35">
      <c r="A242" s="24" t="s">
        <v>35</v>
      </c>
      <c r="B242" s="33" t="s">
        <v>36</v>
      </c>
      <c r="C242" s="26" t="s">
        <v>883</v>
      </c>
      <c r="D242" s="13" t="s">
        <v>884</v>
      </c>
      <c r="E242" s="20" t="s">
        <v>885</v>
      </c>
      <c r="F242" s="22">
        <v>165</v>
      </c>
      <c r="G242" s="22">
        <v>0</v>
      </c>
      <c r="H242" s="27" t="s">
        <v>33</v>
      </c>
      <c r="I242" s="40" t="s">
        <v>42</v>
      </c>
      <c r="J242" s="28">
        <v>2015</v>
      </c>
      <c r="K242" s="29" t="s">
        <v>34</v>
      </c>
      <c r="L242" s="30" t="s">
        <v>886</v>
      </c>
      <c r="M242" s="31">
        <v>3440</v>
      </c>
      <c r="N242" s="32">
        <v>0</v>
      </c>
      <c r="O242" s="35">
        <v>3440</v>
      </c>
      <c r="P242" s="21">
        <v>0</v>
      </c>
      <c r="Q242" s="21">
        <v>0</v>
      </c>
      <c r="R242" s="23">
        <v>0</v>
      </c>
    </row>
    <row r="243" spans="1:18" x14ac:dyDescent="0.35">
      <c r="A243" s="24" t="s">
        <v>48</v>
      </c>
      <c r="B243" s="33" t="s">
        <v>210</v>
      </c>
      <c r="C243" s="26" t="s">
        <v>359</v>
      </c>
      <c r="D243" s="13" t="s">
        <v>887</v>
      </c>
      <c r="E243" s="20" t="s">
        <v>888</v>
      </c>
      <c r="F243" s="22">
        <v>475</v>
      </c>
      <c r="G243" s="22">
        <v>0</v>
      </c>
      <c r="H243" s="27" t="s">
        <v>33</v>
      </c>
      <c r="I243" s="40" t="s">
        <v>42</v>
      </c>
      <c r="J243" s="28">
        <v>2014</v>
      </c>
      <c r="K243" s="29" t="s">
        <v>34</v>
      </c>
      <c r="L243" s="30" t="s">
        <v>889</v>
      </c>
      <c r="M243" s="31">
        <v>11800</v>
      </c>
      <c r="N243" s="32">
        <v>5500</v>
      </c>
      <c r="O243" s="21">
        <v>6300</v>
      </c>
      <c r="P243" s="21">
        <v>0</v>
      </c>
      <c r="Q243" s="21">
        <v>0</v>
      </c>
      <c r="R243" s="23">
        <v>0</v>
      </c>
    </row>
    <row r="244" spans="1:18" x14ac:dyDescent="0.35">
      <c r="A244" s="24" t="s">
        <v>35</v>
      </c>
      <c r="B244" s="33" t="s">
        <v>36</v>
      </c>
      <c r="C244" s="26" t="s">
        <v>890</v>
      </c>
      <c r="D244" s="13" t="s">
        <v>891</v>
      </c>
      <c r="E244" s="20" t="s">
        <v>892</v>
      </c>
      <c r="F244" s="22">
        <v>237</v>
      </c>
      <c r="G244" s="22">
        <v>0</v>
      </c>
      <c r="H244" s="27" t="s">
        <v>33</v>
      </c>
      <c r="I244" s="40" t="s">
        <v>42</v>
      </c>
      <c r="J244" s="28">
        <v>2014</v>
      </c>
      <c r="K244" s="34" t="s">
        <v>34</v>
      </c>
      <c r="L244" s="38" t="s">
        <v>893</v>
      </c>
      <c r="M244" s="31">
        <v>13925</v>
      </c>
      <c r="N244" s="32">
        <v>11175</v>
      </c>
      <c r="O244" s="35">
        <v>2750</v>
      </c>
      <c r="P244" s="21">
        <v>0</v>
      </c>
      <c r="Q244" s="21">
        <v>0</v>
      </c>
      <c r="R244" s="23">
        <v>0</v>
      </c>
    </row>
    <row r="245" spans="1:18" x14ac:dyDescent="0.35">
      <c r="A245" s="24" t="s">
        <v>35</v>
      </c>
      <c r="B245" s="33" t="s">
        <v>36</v>
      </c>
      <c r="C245" s="26" t="s">
        <v>2070</v>
      </c>
      <c r="D245" s="13" t="s">
        <v>894</v>
      </c>
      <c r="E245" s="20" t="s">
        <v>895</v>
      </c>
      <c r="F245" s="22">
        <v>500</v>
      </c>
      <c r="G245" s="22">
        <v>495.00000000000006</v>
      </c>
      <c r="H245" s="27" t="s">
        <v>52</v>
      </c>
      <c r="I245" s="40" t="s">
        <v>42</v>
      </c>
      <c r="J245" s="28">
        <v>2014</v>
      </c>
      <c r="K245" s="29" t="s">
        <v>34</v>
      </c>
      <c r="L245" s="30" t="s">
        <v>896</v>
      </c>
      <c r="M245" s="31">
        <v>22500</v>
      </c>
      <c r="N245" s="32">
        <v>0</v>
      </c>
      <c r="O245" s="35">
        <v>22500</v>
      </c>
      <c r="P245" s="21">
        <v>0</v>
      </c>
      <c r="Q245" s="21">
        <v>0</v>
      </c>
      <c r="R245" s="23">
        <v>0</v>
      </c>
    </row>
    <row r="246" spans="1:18" x14ac:dyDescent="0.35">
      <c r="A246" s="24" t="s">
        <v>91</v>
      </c>
      <c r="B246" s="33" t="s">
        <v>202</v>
      </c>
      <c r="C246" s="26" t="s">
        <v>897</v>
      </c>
      <c r="D246" s="13" t="s">
        <v>898</v>
      </c>
      <c r="E246" s="20" t="s">
        <v>899</v>
      </c>
      <c r="F246" s="22">
        <v>490</v>
      </c>
      <c r="G246" s="22">
        <v>0</v>
      </c>
      <c r="H246" s="27" t="s">
        <v>33</v>
      </c>
      <c r="I246" s="40" t="s">
        <v>42</v>
      </c>
      <c r="J246" s="28">
        <v>2014</v>
      </c>
      <c r="K246" s="29" t="s">
        <v>34</v>
      </c>
      <c r="L246" s="30" t="s">
        <v>900</v>
      </c>
      <c r="M246" s="31">
        <v>14125</v>
      </c>
      <c r="N246" s="32">
        <v>4125</v>
      </c>
      <c r="O246" s="35">
        <v>10000</v>
      </c>
      <c r="P246" s="21">
        <v>0</v>
      </c>
      <c r="Q246" s="21">
        <v>0</v>
      </c>
      <c r="R246" s="23">
        <v>0</v>
      </c>
    </row>
    <row r="247" spans="1:18" x14ac:dyDescent="0.35">
      <c r="A247" s="24" t="s">
        <v>44</v>
      </c>
      <c r="B247" s="33" t="s">
        <v>45</v>
      </c>
      <c r="C247" s="26" t="s">
        <v>2054</v>
      </c>
      <c r="D247" s="13" t="s">
        <v>901</v>
      </c>
      <c r="E247" s="20" t="s">
        <v>902</v>
      </c>
      <c r="F247" s="22">
        <v>4800</v>
      </c>
      <c r="G247" s="22">
        <v>0</v>
      </c>
      <c r="H247" s="27" t="s">
        <v>52</v>
      </c>
      <c r="I247" s="40" t="s">
        <v>42</v>
      </c>
      <c r="J247" s="28">
        <v>2013</v>
      </c>
      <c r="K247" s="34" t="s">
        <v>47</v>
      </c>
      <c r="L247" s="30" t="s">
        <v>152</v>
      </c>
      <c r="M247" s="31">
        <v>90000</v>
      </c>
      <c r="N247" s="32">
        <v>0</v>
      </c>
      <c r="O247" s="35">
        <v>0</v>
      </c>
      <c r="P247" s="21">
        <v>90000</v>
      </c>
      <c r="Q247" s="21">
        <v>0</v>
      </c>
      <c r="R247" s="23">
        <v>0</v>
      </c>
    </row>
    <row r="248" spans="1:18" x14ac:dyDescent="0.35">
      <c r="A248" s="24" t="s">
        <v>85</v>
      </c>
      <c r="B248" s="33" t="s">
        <v>86</v>
      </c>
      <c r="C248" s="26" t="s">
        <v>2071</v>
      </c>
      <c r="D248" s="13" t="s">
        <v>903</v>
      </c>
      <c r="E248" s="20" t="s">
        <v>904</v>
      </c>
      <c r="F248" s="22">
        <v>4500</v>
      </c>
      <c r="G248" s="22">
        <v>250</v>
      </c>
      <c r="H248" s="27" t="s">
        <v>52</v>
      </c>
      <c r="I248" s="40" t="s">
        <v>42</v>
      </c>
      <c r="J248" s="28">
        <v>2016</v>
      </c>
      <c r="K248" s="29" t="s">
        <v>34</v>
      </c>
      <c r="L248" s="30" t="s">
        <v>412</v>
      </c>
      <c r="M248" s="31">
        <v>20000</v>
      </c>
      <c r="N248" s="32">
        <v>18000</v>
      </c>
      <c r="O248" s="21">
        <v>2000</v>
      </c>
      <c r="P248" s="35">
        <v>0</v>
      </c>
      <c r="Q248" s="21">
        <v>0</v>
      </c>
      <c r="R248" s="23">
        <v>0</v>
      </c>
    </row>
    <row r="249" spans="1:18" ht="10.5" customHeight="1" x14ac:dyDescent="0.35">
      <c r="A249" s="24" t="s">
        <v>35</v>
      </c>
      <c r="B249" s="33" t="s">
        <v>36</v>
      </c>
      <c r="C249" s="26" t="s">
        <v>905</v>
      </c>
      <c r="D249" s="13" t="s">
        <v>906</v>
      </c>
      <c r="E249" s="20" t="s">
        <v>2152</v>
      </c>
      <c r="F249" s="22">
        <v>112</v>
      </c>
      <c r="G249" s="22">
        <v>0</v>
      </c>
      <c r="H249" s="27" t="s">
        <v>33</v>
      </c>
      <c r="I249" s="40" t="s">
        <v>42</v>
      </c>
      <c r="J249" s="28">
        <v>2014</v>
      </c>
      <c r="K249" s="29" t="s">
        <v>34</v>
      </c>
      <c r="L249" s="30" t="s">
        <v>907</v>
      </c>
      <c r="M249" s="31">
        <v>6174</v>
      </c>
      <c r="N249" s="32">
        <v>3500</v>
      </c>
      <c r="O249" s="35">
        <v>2674</v>
      </c>
      <c r="P249" s="21">
        <v>0</v>
      </c>
      <c r="Q249" s="35">
        <v>0</v>
      </c>
      <c r="R249" s="23">
        <v>0</v>
      </c>
    </row>
    <row r="250" spans="1:18" x14ac:dyDescent="0.35">
      <c r="A250" s="24" t="s">
        <v>63</v>
      </c>
      <c r="B250" s="33" t="s">
        <v>205</v>
      </c>
      <c r="C250" s="26" t="s">
        <v>908</v>
      </c>
      <c r="D250" s="13" t="s">
        <v>908</v>
      </c>
      <c r="E250" s="20" t="s">
        <v>909</v>
      </c>
      <c r="F250" s="22">
        <v>250</v>
      </c>
      <c r="G250" s="22">
        <v>0</v>
      </c>
      <c r="H250" s="27" t="s">
        <v>33</v>
      </c>
      <c r="I250" s="40" t="s">
        <v>42</v>
      </c>
      <c r="J250" s="28">
        <v>2014</v>
      </c>
      <c r="K250" s="29" t="s">
        <v>34</v>
      </c>
      <c r="L250" s="30" t="s">
        <v>138</v>
      </c>
      <c r="M250" s="31">
        <v>7000</v>
      </c>
      <c r="N250" s="32">
        <v>5600</v>
      </c>
      <c r="O250" s="35">
        <v>1400</v>
      </c>
      <c r="P250" s="21">
        <v>0</v>
      </c>
      <c r="Q250" s="35">
        <v>0</v>
      </c>
      <c r="R250" s="23">
        <v>0</v>
      </c>
    </row>
    <row r="251" spans="1:18" x14ac:dyDescent="0.35">
      <c r="A251" s="24" t="s">
        <v>100</v>
      </c>
      <c r="B251" s="33" t="s">
        <v>118</v>
      </c>
      <c r="C251" s="26" t="s">
        <v>912</v>
      </c>
      <c r="D251" s="13" t="s">
        <v>913</v>
      </c>
      <c r="E251" s="20" t="s">
        <v>914</v>
      </c>
      <c r="F251" s="22">
        <v>470</v>
      </c>
      <c r="G251" s="22">
        <v>0</v>
      </c>
      <c r="H251" s="27" t="s">
        <v>33</v>
      </c>
      <c r="I251" s="40" t="s">
        <v>42</v>
      </c>
      <c r="J251" s="28">
        <v>2013</v>
      </c>
      <c r="K251" s="34" t="s">
        <v>47</v>
      </c>
      <c r="L251" s="30" t="s">
        <v>915</v>
      </c>
      <c r="M251" s="43">
        <v>35000</v>
      </c>
      <c r="N251" s="32">
        <v>2500</v>
      </c>
      <c r="O251" s="21">
        <v>7500</v>
      </c>
      <c r="P251" s="21">
        <v>0</v>
      </c>
      <c r="Q251" s="21">
        <v>0</v>
      </c>
      <c r="R251" s="23">
        <v>25000</v>
      </c>
    </row>
    <row r="252" spans="1:18" ht="10.5" customHeight="1" x14ac:dyDescent="0.3">
      <c r="A252" s="24" t="s">
        <v>38</v>
      </c>
      <c r="B252" s="25" t="s">
        <v>171</v>
      </c>
      <c r="C252" s="26" t="s">
        <v>916</v>
      </c>
      <c r="D252" s="13" t="s">
        <v>917</v>
      </c>
      <c r="E252" s="13" t="s">
        <v>918</v>
      </c>
      <c r="F252" s="22">
        <v>235</v>
      </c>
      <c r="G252" s="22">
        <v>0</v>
      </c>
      <c r="H252" s="27" t="s">
        <v>33</v>
      </c>
      <c r="I252" s="13" t="s">
        <v>42</v>
      </c>
      <c r="J252" s="49">
        <v>2011</v>
      </c>
      <c r="K252" s="29" t="s">
        <v>34</v>
      </c>
      <c r="L252" s="30" t="s">
        <v>919</v>
      </c>
      <c r="M252" s="31">
        <v>5300</v>
      </c>
      <c r="N252" s="32">
        <v>1600</v>
      </c>
      <c r="O252" s="21">
        <v>3700</v>
      </c>
      <c r="P252" s="21">
        <v>0</v>
      </c>
      <c r="Q252" s="21">
        <v>0</v>
      </c>
      <c r="R252" s="23">
        <v>0</v>
      </c>
    </row>
    <row r="253" spans="1:18" ht="10.5" customHeight="1" x14ac:dyDescent="0.35">
      <c r="A253" s="24" t="s">
        <v>35</v>
      </c>
      <c r="B253" s="33" t="s">
        <v>263</v>
      </c>
      <c r="C253" s="26" t="s">
        <v>920</v>
      </c>
      <c r="D253" s="20" t="s">
        <v>921</v>
      </c>
      <c r="E253" s="20" t="s">
        <v>922</v>
      </c>
      <c r="F253" s="22">
        <v>1140</v>
      </c>
      <c r="G253" s="22">
        <v>0</v>
      </c>
      <c r="H253" s="27" t="s">
        <v>33</v>
      </c>
      <c r="I253" s="13" t="s">
        <v>42</v>
      </c>
      <c r="J253" s="28">
        <v>2013</v>
      </c>
      <c r="K253" s="34" t="s">
        <v>47</v>
      </c>
      <c r="L253" s="38" t="s">
        <v>923</v>
      </c>
      <c r="M253" s="31">
        <v>86000</v>
      </c>
      <c r="N253" s="32">
        <v>34500</v>
      </c>
      <c r="O253" s="21">
        <v>0</v>
      </c>
      <c r="P253" s="21">
        <v>51500</v>
      </c>
      <c r="Q253" s="21">
        <v>0</v>
      </c>
      <c r="R253" s="23">
        <v>0</v>
      </c>
    </row>
    <row r="254" spans="1:18" ht="10.5" customHeight="1" x14ac:dyDescent="0.35">
      <c r="A254" s="24" t="s">
        <v>48</v>
      </c>
      <c r="B254" s="33" t="s">
        <v>440</v>
      </c>
      <c r="C254" s="26" t="s">
        <v>924</v>
      </c>
      <c r="D254" s="13" t="s">
        <v>925</v>
      </c>
      <c r="E254" s="20" t="s">
        <v>926</v>
      </c>
      <c r="F254" s="22">
        <v>500</v>
      </c>
      <c r="G254" s="22">
        <v>0</v>
      </c>
      <c r="H254" s="27" t="s">
        <v>33</v>
      </c>
      <c r="I254" s="40" t="s">
        <v>42</v>
      </c>
      <c r="J254" s="28">
        <v>2009</v>
      </c>
      <c r="K254" s="29" t="s">
        <v>34</v>
      </c>
      <c r="L254" s="30" t="s">
        <v>74</v>
      </c>
      <c r="M254" s="31">
        <v>10000</v>
      </c>
      <c r="N254" s="32">
        <v>0</v>
      </c>
      <c r="O254" s="21">
        <v>0</v>
      </c>
      <c r="P254" s="21">
        <v>0</v>
      </c>
      <c r="Q254" s="35">
        <v>10000</v>
      </c>
      <c r="R254" s="23">
        <v>0</v>
      </c>
    </row>
    <row r="255" spans="1:18" x14ac:dyDescent="0.35">
      <c r="A255" s="24" t="s">
        <v>44</v>
      </c>
      <c r="B255" s="33" t="s">
        <v>45</v>
      </c>
      <c r="C255" s="26" t="s">
        <v>927</v>
      </c>
      <c r="D255" s="13" t="s">
        <v>928</v>
      </c>
      <c r="E255" s="20" t="s">
        <v>929</v>
      </c>
      <c r="F255" s="22">
        <v>480</v>
      </c>
      <c r="G255" s="22">
        <v>0</v>
      </c>
      <c r="H255" s="27" t="s">
        <v>33</v>
      </c>
      <c r="I255" s="40" t="s">
        <v>42</v>
      </c>
      <c r="J255" s="28">
        <v>2017</v>
      </c>
      <c r="K255" s="29" t="s">
        <v>47</v>
      </c>
      <c r="L255" s="30" t="s">
        <v>930</v>
      </c>
      <c r="M255" s="31">
        <v>10000</v>
      </c>
      <c r="N255" s="32">
        <v>5000</v>
      </c>
      <c r="O255" s="35">
        <v>0</v>
      </c>
      <c r="P255" s="21">
        <v>5000</v>
      </c>
      <c r="Q255" s="21">
        <v>0</v>
      </c>
      <c r="R255" s="23">
        <v>0</v>
      </c>
    </row>
    <row r="256" spans="1:18" x14ac:dyDescent="0.35">
      <c r="A256" s="24" t="s">
        <v>85</v>
      </c>
      <c r="B256" s="33" t="s">
        <v>86</v>
      </c>
      <c r="C256" s="26" t="s">
        <v>931</v>
      </c>
      <c r="D256" s="41" t="s">
        <v>932</v>
      </c>
      <c r="E256" s="20" t="s">
        <v>933</v>
      </c>
      <c r="F256" s="22">
        <v>184</v>
      </c>
      <c r="G256" s="22">
        <v>0</v>
      </c>
      <c r="H256" s="27" t="s">
        <v>33</v>
      </c>
      <c r="I256" s="40" t="s">
        <v>42</v>
      </c>
      <c r="J256" s="28">
        <v>2015</v>
      </c>
      <c r="K256" s="29" t="s">
        <v>47</v>
      </c>
      <c r="L256" s="30" t="s">
        <v>152</v>
      </c>
      <c r="M256" s="31">
        <v>9125</v>
      </c>
      <c r="N256" s="32">
        <v>0</v>
      </c>
      <c r="O256" s="21">
        <v>0</v>
      </c>
      <c r="P256" s="21">
        <v>9125</v>
      </c>
      <c r="Q256" s="21">
        <v>0</v>
      </c>
      <c r="R256" s="23">
        <v>0</v>
      </c>
    </row>
    <row r="257" spans="1:18" x14ac:dyDescent="0.35">
      <c r="A257" s="24" t="s">
        <v>94</v>
      </c>
      <c r="B257" s="25" t="s">
        <v>123</v>
      </c>
      <c r="C257" s="36" t="s">
        <v>934</v>
      </c>
      <c r="D257" s="13" t="s">
        <v>935</v>
      </c>
      <c r="E257" s="20" t="s">
        <v>936</v>
      </c>
      <c r="F257" s="22">
        <v>2399</v>
      </c>
      <c r="G257" s="22">
        <v>0</v>
      </c>
      <c r="H257" s="27" t="s">
        <v>33</v>
      </c>
      <c r="I257" s="40" t="s">
        <v>42</v>
      </c>
      <c r="J257" s="28">
        <v>2016</v>
      </c>
      <c r="K257" s="29" t="s">
        <v>34</v>
      </c>
      <c r="L257" s="30" t="s">
        <v>937</v>
      </c>
      <c r="M257" s="31">
        <v>23500</v>
      </c>
      <c r="N257" s="32">
        <v>500</v>
      </c>
      <c r="O257" s="21">
        <v>23000</v>
      </c>
      <c r="P257" s="35">
        <v>0</v>
      </c>
      <c r="Q257" s="21">
        <v>0</v>
      </c>
      <c r="R257" s="23">
        <v>0</v>
      </c>
    </row>
    <row r="258" spans="1:18" x14ac:dyDescent="0.35">
      <c r="A258" s="24" t="s">
        <v>91</v>
      </c>
      <c r="B258" s="33" t="s">
        <v>938</v>
      </c>
      <c r="C258" s="26" t="s">
        <v>939</v>
      </c>
      <c r="D258" s="13" t="s">
        <v>940</v>
      </c>
      <c r="E258" s="20" t="s">
        <v>941</v>
      </c>
      <c r="F258" s="22">
        <v>1000</v>
      </c>
      <c r="G258" s="22">
        <v>0</v>
      </c>
      <c r="H258" s="27" t="s">
        <v>33</v>
      </c>
      <c r="I258" s="13" t="s">
        <v>42</v>
      </c>
      <c r="J258" s="28">
        <v>2015</v>
      </c>
      <c r="K258" s="29" t="s">
        <v>34</v>
      </c>
      <c r="L258" s="30" t="s">
        <v>942</v>
      </c>
      <c r="M258" s="31">
        <v>10760</v>
      </c>
      <c r="N258" s="32">
        <v>2000</v>
      </c>
      <c r="O258" s="35">
        <v>8760</v>
      </c>
      <c r="P258" s="21">
        <v>0</v>
      </c>
      <c r="Q258" s="21">
        <v>0</v>
      </c>
      <c r="R258" s="23">
        <v>0</v>
      </c>
    </row>
    <row r="259" spans="1:18" x14ac:dyDescent="0.35">
      <c r="A259" s="24" t="s">
        <v>44</v>
      </c>
      <c r="B259" s="25" t="s">
        <v>54</v>
      </c>
      <c r="C259" s="36" t="s">
        <v>943</v>
      </c>
      <c r="D259" s="13" t="s">
        <v>944</v>
      </c>
      <c r="E259" s="20" t="s">
        <v>945</v>
      </c>
      <c r="F259" s="22">
        <v>500</v>
      </c>
      <c r="G259" s="22">
        <v>0</v>
      </c>
      <c r="H259" s="27" t="s">
        <v>33</v>
      </c>
      <c r="I259" s="40" t="s">
        <v>42</v>
      </c>
      <c r="J259" s="28">
        <v>2014</v>
      </c>
      <c r="K259" s="29" t="s">
        <v>34</v>
      </c>
      <c r="L259" s="30" t="s">
        <v>946</v>
      </c>
      <c r="M259" s="31">
        <v>15300</v>
      </c>
      <c r="N259" s="32">
        <v>4000</v>
      </c>
      <c r="O259" s="35">
        <v>11300</v>
      </c>
      <c r="P259" s="21">
        <v>0</v>
      </c>
      <c r="Q259" s="35">
        <v>0</v>
      </c>
      <c r="R259" s="23">
        <v>0</v>
      </c>
    </row>
    <row r="260" spans="1:18" x14ac:dyDescent="0.35">
      <c r="A260" s="24" t="s">
        <v>44</v>
      </c>
      <c r="B260" s="33" t="s">
        <v>45</v>
      </c>
      <c r="C260" s="42" t="s">
        <v>947</v>
      </c>
      <c r="D260" s="13" t="s">
        <v>947</v>
      </c>
      <c r="E260" s="20" t="s">
        <v>948</v>
      </c>
      <c r="F260" s="22">
        <v>1000</v>
      </c>
      <c r="G260" s="22">
        <v>0</v>
      </c>
      <c r="H260" s="27" t="s">
        <v>33</v>
      </c>
      <c r="I260" s="40" t="s">
        <v>42</v>
      </c>
      <c r="J260" s="28">
        <v>2012</v>
      </c>
      <c r="K260" s="29" t="s">
        <v>47</v>
      </c>
      <c r="L260" s="30" t="s">
        <v>949</v>
      </c>
      <c r="M260" s="31">
        <v>25000</v>
      </c>
      <c r="N260" s="32">
        <v>10000</v>
      </c>
      <c r="O260" s="35">
        <v>0</v>
      </c>
      <c r="P260" s="21">
        <v>15000</v>
      </c>
      <c r="Q260" s="21">
        <v>0</v>
      </c>
      <c r="R260" s="23">
        <v>0</v>
      </c>
    </row>
    <row r="261" spans="1:18" x14ac:dyDescent="0.35">
      <c r="A261" s="24" t="s">
        <v>48</v>
      </c>
      <c r="B261" s="33" t="s">
        <v>71</v>
      </c>
      <c r="C261" s="26" t="s">
        <v>950</v>
      </c>
      <c r="D261" s="13" t="s">
        <v>951</v>
      </c>
      <c r="E261" s="13" t="s">
        <v>952</v>
      </c>
      <c r="F261" s="35">
        <v>1440</v>
      </c>
      <c r="G261" s="27">
        <v>550</v>
      </c>
      <c r="H261" s="27" t="s">
        <v>52</v>
      </c>
      <c r="I261" s="40" t="s">
        <v>42</v>
      </c>
      <c r="J261" s="28">
        <v>2017</v>
      </c>
      <c r="K261" s="29" t="s">
        <v>34</v>
      </c>
      <c r="L261" s="30" t="s">
        <v>211</v>
      </c>
      <c r="M261" s="31">
        <v>80000</v>
      </c>
      <c r="N261" s="32">
        <v>0</v>
      </c>
      <c r="O261" s="35">
        <v>80000</v>
      </c>
      <c r="P261" s="35">
        <v>0</v>
      </c>
      <c r="Q261" s="21">
        <v>0</v>
      </c>
      <c r="R261" s="23">
        <v>0</v>
      </c>
    </row>
    <row r="262" spans="1:18" ht="10.5" customHeight="1" x14ac:dyDescent="0.35">
      <c r="A262" s="24" t="s">
        <v>38</v>
      </c>
      <c r="B262" s="33" t="s">
        <v>212</v>
      </c>
      <c r="C262" s="44" t="s">
        <v>953</v>
      </c>
      <c r="D262" s="13" t="s">
        <v>953</v>
      </c>
      <c r="E262" s="20" t="s">
        <v>954</v>
      </c>
      <c r="F262" s="22">
        <v>250</v>
      </c>
      <c r="G262" s="22">
        <v>600</v>
      </c>
      <c r="H262" s="27" t="s">
        <v>52</v>
      </c>
      <c r="I262" s="40" t="s">
        <v>42</v>
      </c>
      <c r="J262" s="28">
        <v>2016</v>
      </c>
      <c r="K262" s="29" t="s">
        <v>34</v>
      </c>
      <c r="L262" s="30" t="s">
        <v>955</v>
      </c>
      <c r="M262" s="31">
        <v>36000</v>
      </c>
      <c r="N262" s="32">
        <v>10000</v>
      </c>
      <c r="O262" s="21">
        <v>26000</v>
      </c>
      <c r="P262" s="21">
        <v>0</v>
      </c>
      <c r="Q262" s="21">
        <v>0</v>
      </c>
      <c r="R262" s="23">
        <v>0</v>
      </c>
    </row>
    <row r="263" spans="1:18" ht="10.5" customHeight="1" x14ac:dyDescent="0.35">
      <c r="A263" s="24" t="s">
        <v>30</v>
      </c>
      <c r="B263" s="33" t="s">
        <v>80</v>
      </c>
      <c r="C263" s="26" t="s">
        <v>956</v>
      </c>
      <c r="D263" s="13" t="s">
        <v>957</v>
      </c>
      <c r="E263" s="20" t="s">
        <v>958</v>
      </c>
      <c r="F263" s="22">
        <v>980</v>
      </c>
      <c r="G263" s="22">
        <v>0</v>
      </c>
      <c r="H263" s="27" t="s">
        <v>33</v>
      </c>
      <c r="I263" s="40" t="s">
        <v>42</v>
      </c>
      <c r="J263" s="28">
        <v>2015</v>
      </c>
      <c r="K263" s="29" t="s">
        <v>47</v>
      </c>
      <c r="L263" s="30" t="s">
        <v>959</v>
      </c>
      <c r="M263" s="31">
        <v>10000</v>
      </c>
      <c r="N263" s="32">
        <v>0</v>
      </c>
      <c r="O263" s="35">
        <v>0</v>
      </c>
      <c r="P263" s="21">
        <v>0</v>
      </c>
      <c r="Q263" s="21">
        <v>0</v>
      </c>
      <c r="R263" s="23">
        <v>10000</v>
      </c>
    </row>
    <row r="264" spans="1:18" x14ac:dyDescent="0.35">
      <c r="A264" s="24" t="s">
        <v>100</v>
      </c>
      <c r="B264" s="33" t="s">
        <v>101</v>
      </c>
      <c r="C264" s="26" t="s">
        <v>331</v>
      </c>
      <c r="D264" s="13" t="s">
        <v>2104</v>
      </c>
      <c r="E264" s="20" t="s">
        <v>1239</v>
      </c>
      <c r="F264" s="22">
        <v>1700</v>
      </c>
      <c r="G264" s="22">
        <v>0</v>
      </c>
      <c r="H264" s="27" t="s">
        <v>33</v>
      </c>
      <c r="I264" s="40" t="s">
        <v>42</v>
      </c>
      <c r="J264" s="28">
        <v>2013</v>
      </c>
      <c r="K264" s="34" t="s">
        <v>47</v>
      </c>
      <c r="L264" s="30" t="s">
        <v>152</v>
      </c>
      <c r="M264" s="31">
        <v>11500</v>
      </c>
      <c r="N264" s="32">
        <v>0</v>
      </c>
      <c r="O264" s="21">
        <v>0</v>
      </c>
      <c r="P264" s="21">
        <v>11500</v>
      </c>
      <c r="Q264" s="21">
        <v>0</v>
      </c>
      <c r="R264" s="23">
        <v>0</v>
      </c>
    </row>
    <row r="265" spans="1:18" x14ac:dyDescent="0.35">
      <c r="A265" s="24" t="s">
        <v>48</v>
      </c>
      <c r="B265" s="25" t="s">
        <v>71</v>
      </c>
      <c r="C265" s="36" t="s">
        <v>960</v>
      </c>
      <c r="D265" s="13" t="s">
        <v>961</v>
      </c>
      <c r="E265" s="20" t="s">
        <v>962</v>
      </c>
      <c r="F265" s="22">
        <v>240</v>
      </c>
      <c r="G265" s="22">
        <v>0</v>
      </c>
      <c r="H265" s="27" t="s">
        <v>33</v>
      </c>
      <c r="I265" s="40" t="s">
        <v>42</v>
      </c>
      <c r="J265" s="28">
        <v>2014</v>
      </c>
      <c r="K265" s="29" t="s">
        <v>47</v>
      </c>
      <c r="L265" s="30" t="s">
        <v>963</v>
      </c>
      <c r="M265" s="31">
        <v>10000</v>
      </c>
      <c r="N265" s="32">
        <v>0</v>
      </c>
      <c r="O265" s="21">
        <v>0</v>
      </c>
      <c r="P265" s="35">
        <v>0</v>
      </c>
      <c r="Q265" s="21">
        <v>0</v>
      </c>
      <c r="R265" s="23">
        <v>10000</v>
      </c>
    </row>
    <row r="266" spans="1:18" x14ac:dyDescent="0.35">
      <c r="A266" s="24" t="s">
        <v>38</v>
      </c>
      <c r="B266" s="33" t="s">
        <v>39</v>
      </c>
      <c r="C266" s="26" t="s">
        <v>964</v>
      </c>
      <c r="D266" s="13" t="s">
        <v>965</v>
      </c>
      <c r="E266" s="20" t="s">
        <v>966</v>
      </c>
      <c r="F266" s="22">
        <v>0</v>
      </c>
      <c r="G266" s="22">
        <v>0</v>
      </c>
      <c r="H266" s="27" t="s">
        <v>615</v>
      </c>
      <c r="I266" s="13" t="s">
        <v>42</v>
      </c>
      <c r="J266" s="28">
        <v>2014</v>
      </c>
      <c r="K266" s="34" t="s">
        <v>34</v>
      </c>
      <c r="L266" s="30" t="s">
        <v>496</v>
      </c>
      <c r="M266" s="43">
        <v>2555</v>
      </c>
      <c r="N266" s="32">
        <v>2555</v>
      </c>
      <c r="O266" s="35">
        <v>0</v>
      </c>
      <c r="P266" s="21">
        <v>0</v>
      </c>
      <c r="Q266" s="21">
        <v>0</v>
      </c>
      <c r="R266" s="23">
        <v>0</v>
      </c>
    </row>
    <row r="267" spans="1:18" x14ac:dyDescent="0.35">
      <c r="A267" s="24" t="s">
        <v>44</v>
      </c>
      <c r="B267" s="33" t="s">
        <v>54</v>
      </c>
      <c r="C267" s="26" t="s">
        <v>967</v>
      </c>
      <c r="D267" s="13" t="s">
        <v>967</v>
      </c>
      <c r="E267" s="20" t="s">
        <v>968</v>
      </c>
      <c r="F267" s="22">
        <v>500</v>
      </c>
      <c r="G267" s="22">
        <v>0</v>
      </c>
      <c r="H267" s="27" t="s">
        <v>33</v>
      </c>
      <c r="I267" s="40" t="s">
        <v>42</v>
      </c>
      <c r="J267" s="28">
        <v>2020</v>
      </c>
      <c r="K267" s="29" t="s">
        <v>34</v>
      </c>
      <c r="L267" s="30" t="s">
        <v>969</v>
      </c>
      <c r="M267" s="31">
        <v>20000</v>
      </c>
      <c r="N267" s="32">
        <v>20000</v>
      </c>
      <c r="O267" s="35">
        <v>0</v>
      </c>
      <c r="P267" s="21">
        <v>0</v>
      </c>
      <c r="Q267" s="21">
        <v>0</v>
      </c>
      <c r="R267" s="23">
        <v>0</v>
      </c>
    </row>
    <row r="268" spans="1:18" x14ac:dyDescent="0.35">
      <c r="A268" s="24" t="s">
        <v>48</v>
      </c>
      <c r="B268" s="33" t="s">
        <v>75</v>
      </c>
      <c r="C268" s="26" t="s">
        <v>331</v>
      </c>
      <c r="D268" s="13" t="s">
        <v>970</v>
      </c>
      <c r="E268" s="20" t="s">
        <v>971</v>
      </c>
      <c r="F268" s="22">
        <v>2000</v>
      </c>
      <c r="G268" s="22" t="s">
        <v>93</v>
      </c>
      <c r="H268" s="27" t="s">
        <v>33</v>
      </c>
      <c r="I268" s="40" t="s">
        <v>42</v>
      </c>
      <c r="J268" s="28">
        <v>2014</v>
      </c>
      <c r="K268" s="34" t="s">
        <v>47</v>
      </c>
      <c r="L268" s="30" t="s">
        <v>152</v>
      </c>
      <c r="M268" s="31">
        <v>45000</v>
      </c>
      <c r="N268" s="32">
        <v>0</v>
      </c>
      <c r="O268" s="35">
        <v>0</v>
      </c>
      <c r="P268" s="21">
        <v>45000</v>
      </c>
      <c r="Q268" s="21">
        <v>0</v>
      </c>
      <c r="R268" s="23">
        <v>0</v>
      </c>
    </row>
    <row r="269" spans="1:18" x14ac:dyDescent="0.35">
      <c r="A269" s="24" t="s">
        <v>30</v>
      </c>
      <c r="B269" s="25" t="s">
        <v>662</v>
      </c>
      <c r="C269" s="36" t="s">
        <v>972</v>
      </c>
      <c r="D269" s="13" t="s">
        <v>973</v>
      </c>
      <c r="E269" s="20" t="s">
        <v>974</v>
      </c>
      <c r="F269" s="22">
        <v>197</v>
      </c>
      <c r="G269" s="22">
        <v>0</v>
      </c>
      <c r="H269" s="27" t="s">
        <v>33</v>
      </c>
      <c r="I269" s="40" t="s">
        <v>42</v>
      </c>
      <c r="J269" s="28">
        <v>2016</v>
      </c>
      <c r="K269" s="29" t="s">
        <v>34</v>
      </c>
      <c r="L269" s="30" t="s">
        <v>975</v>
      </c>
      <c r="M269" s="31">
        <v>10000</v>
      </c>
      <c r="N269" s="32">
        <v>0</v>
      </c>
      <c r="O269" s="21">
        <v>0</v>
      </c>
      <c r="P269" s="21">
        <v>0</v>
      </c>
      <c r="Q269" s="35">
        <v>10000</v>
      </c>
      <c r="R269" s="23">
        <v>0</v>
      </c>
    </row>
    <row r="270" spans="1:18" x14ac:dyDescent="0.35">
      <c r="A270" s="24" t="s">
        <v>85</v>
      </c>
      <c r="B270" s="33" t="s">
        <v>252</v>
      </c>
      <c r="C270" s="26" t="s">
        <v>2059</v>
      </c>
      <c r="D270" s="13" t="s">
        <v>976</v>
      </c>
      <c r="E270" s="20" t="s">
        <v>977</v>
      </c>
      <c r="F270" s="22">
        <v>485</v>
      </c>
      <c r="G270" s="22">
        <v>550</v>
      </c>
      <c r="H270" s="27" t="s">
        <v>52</v>
      </c>
      <c r="I270" s="40" t="s">
        <v>42</v>
      </c>
      <c r="J270" s="28">
        <v>2016</v>
      </c>
      <c r="K270" s="29" t="s">
        <v>34</v>
      </c>
      <c r="L270" s="30" t="s">
        <v>978</v>
      </c>
      <c r="M270" s="31">
        <v>56000</v>
      </c>
      <c r="N270" s="32">
        <v>15000</v>
      </c>
      <c r="O270" s="35">
        <v>41000</v>
      </c>
      <c r="P270" s="21">
        <v>0</v>
      </c>
      <c r="Q270" s="21">
        <v>0</v>
      </c>
      <c r="R270" s="23">
        <v>0</v>
      </c>
    </row>
    <row r="271" spans="1:18" x14ac:dyDescent="0.35">
      <c r="A271" s="24" t="s">
        <v>30</v>
      </c>
      <c r="B271" s="33" t="s">
        <v>31</v>
      </c>
      <c r="C271" s="42" t="s">
        <v>849</v>
      </c>
      <c r="D271" s="13" t="s">
        <v>981</v>
      </c>
      <c r="E271" s="20" t="s">
        <v>982</v>
      </c>
      <c r="F271" s="22">
        <v>500</v>
      </c>
      <c r="G271" s="22">
        <v>450</v>
      </c>
      <c r="H271" s="27" t="s">
        <v>52</v>
      </c>
      <c r="I271" s="13" t="s">
        <v>42</v>
      </c>
      <c r="J271" s="28">
        <v>2017</v>
      </c>
      <c r="K271" s="29" t="s">
        <v>34</v>
      </c>
      <c r="L271" s="30" t="s">
        <v>983</v>
      </c>
      <c r="M271" s="31">
        <v>38000</v>
      </c>
      <c r="N271" s="32">
        <v>0</v>
      </c>
      <c r="O271" s="35">
        <v>38000</v>
      </c>
      <c r="P271" s="21">
        <v>0</v>
      </c>
      <c r="Q271" s="21">
        <v>0</v>
      </c>
      <c r="R271" s="23">
        <v>0</v>
      </c>
    </row>
    <row r="272" spans="1:18" ht="10.5" customHeight="1" x14ac:dyDescent="0.35">
      <c r="A272" s="24" t="s">
        <v>94</v>
      </c>
      <c r="B272" s="33" t="s">
        <v>143</v>
      </c>
      <c r="C272" s="26" t="s">
        <v>984</v>
      </c>
      <c r="D272" s="13" t="s">
        <v>985</v>
      </c>
      <c r="E272" s="20" t="s">
        <v>986</v>
      </c>
      <c r="F272" s="22">
        <v>200</v>
      </c>
      <c r="G272" s="22">
        <v>0</v>
      </c>
      <c r="H272" s="27" t="s">
        <v>33</v>
      </c>
      <c r="I272" s="40" t="s">
        <v>42</v>
      </c>
      <c r="J272" s="28">
        <v>2016</v>
      </c>
      <c r="K272" s="29" t="s">
        <v>34</v>
      </c>
      <c r="L272" s="30" t="s">
        <v>987</v>
      </c>
      <c r="M272" s="31">
        <v>22000</v>
      </c>
      <c r="N272" s="32">
        <v>14500</v>
      </c>
      <c r="O272" s="35">
        <v>7500</v>
      </c>
      <c r="P272" s="21">
        <v>0</v>
      </c>
      <c r="Q272" s="21">
        <v>0</v>
      </c>
      <c r="R272" s="23">
        <v>0</v>
      </c>
    </row>
    <row r="273" spans="1:18" x14ac:dyDescent="0.35">
      <c r="A273" s="24" t="s">
        <v>38</v>
      </c>
      <c r="B273" s="33" t="s">
        <v>39</v>
      </c>
      <c r="C273" s="26" t="s">
        <v>988</v>
      </c>
      <c r="D273" s="13" t="s">
        <v>989</v>
      </c>
      <c r="E273" s="20" t="s">
        <v>990</v>
      </c>
      <c r="F273" s="22">
        <v>350</v>
      </c>
      <c r="G273" s="22">
        <v>0</v>
      </c>
      <c r="H273" s="27" t="s">
        <v>33</v>
      </c>
      <c r="I273" s="40" t="s">
        <v>42</v>
      </c>
      <c r="J273" s="28">
        <v>2012</v>
      </c>
      <c r="K273" s="34" t="s">
        <v>34</v>
      </c>
      <c r="L273" s="30" t="s">
        <v>991</v>
      </c>
      <c r="M273" s="31">
        <v>6000</v>
      </c>
      <c r="N273" s="32">
        <v>3600</v>
      </c>
      <c r="O273" s="35">
        <v>2400</v>
      </c>
      <c r="P273" s="21">
        <v>0</v>
      </c>
      <c r="Q273" s="21">
        <v>0</v>
      </c>
      <c r="R273" s="23">
        <v>0</v>
      </c>
    </row>
    <row r="274" spans="1:18" x14ac:dyDescent="0.35">
      <c r="A274" s="24" t="s">
        <v>35</v>
      </c>
      <c r="B274" s="33" t="s">
        <v>36</v>
      </c>
      <c r="C274" s="26" t="s">
        <v>905</v>
      </c>
      <c r="D274" s="13" t="s">
        <v>992</v>
      </c>
      <c r="E274" s="13" t="s">
        <v>993</v>
      </c>
      <c r="F274" s="22">
        <v>112</v>
      </c>
      <c r="G274" s="22">
        <v>0</v>
      </c>
      <c r="H274" s="27" t="s">
        <v>33</v>
      </c>
      <c r="I274" s="13" t="s">
        <v>42</v>
      </c>
      <c r="J274" s="28">
        <v>2014</v>
      </c>
      <c r="K274" s="34" t="s">
        <v>34</v>
      </c>
      <c r="L274" s="30" t="s">
        <v>994</v>
      </c>
      <c r="M274" s="31">
        <v>7418</v>
      </c>
      <c r="N274" s="32">
        <v>5418</v>
      </c>
      <c r="O274" s="21">
        <v>2000</v>
      </c>
      <c r="P274" s="21">
        <v>0</v>
      </c>
      <c r="Q274" s="21">
        <v>0</v>
      </c>
      <c r="R274" s="23">
        <v>0</v>
      </c>
    </row>
    <row r="275" spans="1:18" x14ac:dyDescent="0.35">
      <c r="A275" s="24" t="s">
        <v>35</v>
      </c>
      <c r="B275" s="33" t="s">
        <v>36</v>
      </c>
      <c r="C275" s="26" t="s">
        <v>995</v>
      </c>
      <c r="D275" s="13" t="s">
        <v>996</v>
      </c>
      <c r="E275" s="20" t="s">
        <v>997</v>
      </c>
      <c r="F275" s="22">
        <v>440</v>
      </c>
      <c r="G275" s="22">
        <v>600</v>
      </c>
      <c r="H275" s="27" t="s">
        <v>52</v>
      </c>
      <c r="I275" s="40" t="s">
        <v>42</v>
      </c>
      <c r="J275" s="28">
        <v>2015</v>
      </c>
      <c r="K275" s="29" t="s">
        <v>34</v>
      </c>
      <c r="L275" s="30" t="s">
        <v>211</v>
      </c>
      <c r="M275" s="31">
        <v>45000</v>
      </c>
      <c r="N275" s="32">
        <v>0</v>
      </c>
      <c r="O275" s="21">
        <v>45000</v>
      </c>
      <c r="P275" s="21">
        <v>0</v>
      </c>
      <c r="Q275" s="21">
        <v>0</v>
      </c>
      <c r="R275" s="23">
        <v>0</v>
      </c>
    </row>
    <row r="276" spans="1:18" x14ac:dyDescent="0.35">
      <c r="A276" s="24" t="s">
        <v>35</v>
      </c>
      <c r="B276" s="33" t="s">
        <v>260</v>
      </c>
      <c r="C276" s="26" t="s">
        <v>292</v>
      </c>
      <c r="D276" s="13" t="s">
        <v>2119</v>
      </c>
      <c r="E276" s="20" t="s">
        <v>293</v>
      </c>
      <c r="F276" s="22">
        <v>500</v>
      </c>
      <c r="G276" s="22">
        <v>450</v>
      </c>
      <c r="H276" s="27" t="s">
        <v>52</v>
      </c>
      <c r="I276" s="40" t="s">
        <v>42</v>
      </c>
      <c r="J276" s="28">
        <v>2015</v>
      </c>
      <c r="K276" s="34" t="s">
        <v>47</v>
      </c>
      <c r="L276" s="30" t="s">
        <v>294</v>
      </c>
      <c r="M276" s="31">
        <v>30000</v>
      </c>
      <c r="N276" s="32">
        <v>0</v>
      </c>
      <c r="O276" s="21">
        <v>15000</v>
      </c>
      <c r="P276" s="21">
        <v>0</v>
      </c>
      <c r="Q276" s="21">
        <v>0</v>
      </c>
      <c r="R276" s="23">
        <v>15000</v>
      </c>
    </row>
    <row r="277" spans="1:18" x14ac:dyDescent="0.35">
      <c r="A277" s="24" t="s">
        <v>35</v>
      </c>
      <c r="B277" s="33" t="s">
        <v>36</v>
      </c>
      <c r="C277" s="26" t="s">
        <v>1000</v>
      </c>
      <c r="D277" s="13" t="s">
        <v>1001</v>
      </c>
      <c r="E277" s="20" t="s">
        <v>1002</v>
      </c>
      <c r="F277" s="22">
        <v>6000</v>
      </c>
      <c r="G277" s="22">
        <v>950</v>
      </c>
      <c r="H277" s="27" t="s">
        <v>52</v>
      </c>
      <c r="I277" s="40" t="s">
        <v>42</v>
      </c>
      <c r="J277" s="28">
        <v>2015</v>
      </c>
      <c r="K277" s="34" t="s">
        <v>47</v>
      </c>
      <c r="L277" s="30" t="s">
        <v>152</v>
      </c>
      <c r="M277" s="31">
        <v>140000</v>
      </c>
      <c r="N277" s="32">
        <v>0</v>
      </c>
      <c r="O277" s="21">
        <v>0</v>
      </c>
      <c r="P277" s="21">
        <v>140000</v>
      </c>
      <c r="Q277" s="21">
        <v>0</v>
      </c>
      <c r="R277" s="23">
        <v>0</v>
      </c>
    </row>
    <row r="278" spans="1:18" x14ac:dyDescent="0.35">
      <c r="A278" s="24" t="s">
        <v>100</v>
      </c>
      <c r="B278" s="33" t="s">
        <v>118</v>
      </c>
      <c r="C278" s="26" t="s">
        <v>1003</v>
      </c>
      <c r="D278" s="13" t="s">
        <v>1004</v>
      </c>
      <c r="E278" s="20" t="s">
        <v>1005</v>
      </c>
      <c r="F278" s="22">
        <v>92</v>
      </c>
      <c r="G278" s="22">
        <v>0</v>
      </c>
      <c r="H278" s="27" t="s">
        <v>33</v>
      </c>
      <c r="I278" s="40" t="s">
        <v>42</v>
      </c>
      <c r="J278" s="28">
        <v>2016</v>
      </c>
      <c r="K278" s="34" t="s">
        <v>34</v>
      </c>
      <c r="L278" s="30" t="s">
        <v>1006</v>
      </c>
      <c r="M278" s="31">
        <v>4000</v>
      </c>
      <c r="N278" s="32">
        <v>3000</v>
      </c>
      <c r="O278" s="21">
        <v>1000</v>
      </c>
      <c r="P278" s="21">
        <v>0</v>
      </c>
      <c r="Q278" s="21">
        <v>0</v>
      </c>
      <c r="R278" s="23">
        <v>0</v>
      </c>
    </row>
    <row r="279" spans="1:18" x14ac:dyDescent="0.35">
      <c r="A279" s="24" t="s">
        <v>91</v>
      </c>
      <c r="B279" s="33" t="s">
        <v>1008</v>
      </c>
      <c r="C279" s="26" t="s">
        <v>2084</v>
      </c>
      <c r="D279" s="13" t="s">
        <v>1009</v>
      </c>
      <c r="E279" s="20" t="s">
        <v>1010</v>
      </c>
      <c r="F279" s="22">
        <v>1195</v>
      </c>
      <c r="G279" s="22">
        <v>0</v>
      </c>
      <c r="H279" s="27" t="s">
        <v>33</v>
      </c>
      <c r="I279" s="40" t="s">
        <v>42</v>
      </c>
      <c r="J279" s="28">
        <v>2013</v>
      </c>
      <c r="K279" s="29" t="s">
        <v>47</v>
      </c>
      <c r="L279" s="30" t="s">
        <v>1011</v>
      </c>
      <c r="M279" s="31">
        <v>29000</v>
      </c>
      <c r="N279" s="32">
        <v>0</v>
      </c>
      <c r="O279" s="21">
        <v>14500</v>
      </c>
      <c r="P279" s="35">
        <v>14500</v>
      </c>
      <c r="Q279" s="21">
        <v>0</v>
      </c>
      <c r="R279" s="23">
        <v>0</v>
      </c>
    </row>
    <row r="280" spans="1:18" x14ac:dyDescent="0.35">
      <c r="A280" s="24" t="s">
        <v>44</v>
      </c>
      <c r="B280" s="33" t="s">
        <v>45</v>
      </c>
      <c r="C280" s="26" t="s">
        <v>1012</v>
      </c>
      <c r="D280" s="13" t="s">
        <v>1013</v>
      </c>
      <c r="E280" s="20" t="s">
        <v>1014</v>
      </c>
      <c r="F280" s="22">
        <v>500</v>
      </c>
      <c r="G280" s="22">
        <v>0</v>
      </c>
      <c r="H280" s="27" t="s">
        <v>33</v>
      </c>
      <c r="I280" s="40" t="s">
        <v>42</v>
      </c>
      <c r="J280" s="28">
        <v>2018</v>
      </c>
      <c r="K280" s="29" t="s">
        <v>34</v>
      </c>
      <c r="L280" s="30" t="s">
        <v>1015</v>
      </c>
      <c r="M280" s="31">
        <v>14575</v>
      </c>
      <c r="N280" s="32">
        <v>5785</v>
      </c>
      <c r="O280" s="35">
        <v>8790</v>
      </c>
      <c r="P280" s="21">
        <v>0</v>
      </c>
      <c r="Q280" s="21">
        <v>0</v>
      </c>
      <c r="R280" s="23">
        <v>0</v>
      </c>
    </row>
    <row r="281" spans="1:18" x14ac:dyDescent="0.35">
      <c r="A281" s="24" t="s">
        <v>85</v>
      </c>
      <c r="B281" s="33" t="s">
        <v>330</v>
      </c>
      <c r="C281" s="26" t="s">
        <v>2079</v>
      </c>
      <c r="D281" s="13" t="s">
        <v>1016</v>
      </c>
      <c r="E281" s="20" t="s">
        <v>1017</v>
      </c>
      <c r="F281" s="22">
        <v>500</v>
      </c>
      <c r="G281" s="22">
        <v>550</v>
      </c>
      <c r="H281" s="27" t="s">
        <v>52</v>
      </c>
      <c r="I281" s="40" t="s">
        <v>42</v>
      </c>
      <c r="J281" s="28">
        <v>2014</v>
      </c>
      <c r="K281" s="34" t="s">
        <v>34</v>
      </c>
      <c r="L281" s="30" t="s">
        <v>267</v>
      </c>
      <c r="M281" s="31">
        <v>36000</v>
      </c>
      <c r="N281" s="32">
        <v>0</v>
      </c>
      <c r="O281" s="21">
        <v>36000</v>
      </c>
      <c r="P281" s="35">
        <v>0</v>
      </c>
      <c r="Q281" s="21">
        <v>0</v>
      </c>
      <c r="R281" s="23">
        <v>0</v>
      </c>
    </row>
    <row r="282" spans="1:18" x14ac:dyDescent="0.35">
      <c r="A282" s="24" t="s">
        <v>373</v>
      </c>
      <c r="B282" s="33" t="s">
        <v>594</v>
      </c>
      <c r="C282" s="26" t="s">
        <v>1018</v>
      </c>
      <c r="D282" s="13" t="s">
        <v>1018</v>
      </c>
      <c r="E282" s="20" t="s">
        <v>1019</v>
      </c>
      <c r="F282" s="22">
        <v>450</v>
      </c>
      <c r="G282" s="22">
        <v>400</v>
      </c>
      <c r="H282" s="27" t="s">
        <v>52</v>
      </c>
      <c r="I282" s="40" t="s">
        <v>42</v>
      </c>
      <c r="J282" s="28">
        <v>2014</v>
      </c>
      <c r="K282" s="29" t="s">
        <v>47</v>
      </c>
      <c r="L282" s="30" t="s">
        <v>1020</v>
      </c>
      <c r="M282" s="31">
        <v>17400</v>
      </c>
      <c r="N282" s="32">
        <v>3500</v>
      </c>
      <c r="O282" s="35">
        <v>3200</v>
      </c>
      <c r="P282" s="21">
        <v>0</v>
      </c>
      <c r="Q282" s="21">
        <v>0</v>
      </c>
      <c r="R282" s="23">
        <v>10700</v>
      </c>
    </row>
    <row r="283" spans="1:18" x14ac:dyDescent="0.35">
      <c r="A283" s="24" t="s">
        <v>63</v>
      </c>
      <c r="B283" s="33" t="s">
        <v>134</v>
      </c>
      <c r="C283" s="26" t="s">
        <v>135</v>
      </c>
      <c r="D283" s="13" t="s">
        <v>1021</v>
      </c>
      <c r="E283" s="20" t="s">
        <v>1022</v>
      </c>
      <c r="F283" s="22">
        <v>115</v>
      </c>
      <c r="G283" s="22">
        <v>0</v>
      </c>
      <c r="H283" s="27" t="s">
        <v>33</v>
      </c>
      <c r="I283" s="40" t="s">
        <v>42</v>
      </c>
      <c r="J283" s="28">
        <v>2014</v>
      </c>
      <c r="K283" s="29" t="s">
        <v>34</v>
      </c>
      <c r="L283" s="30" t="s">
        <v>1023</v>
      </c>
      <c r="M283" s="31">
        <v>3200</v>
      </c>
      <c r="N283" s="32">
        <v>0</v>
      </c>
      <c r="O283" s="35">
        <v>2200</v>
      </c>
      <c r="P283" s="21">
        <v>0</v>
      </c>
      <c r="Q283" s="21">
        <v>1000</v>
      </c>
      <c r="R283" s="23">
        <v>0</v>
      </c>
    </row>
    <row r="284" spans="1:18" x14ac:dyDescent="0.35">
      <c r="A284" s="24" t="s">
        <v>63</v>
      </c>
      <c r="B284" s="33" t="s">
        <v>257</v>
      </c>
      <c r="C284" s="42" t="s">
        <v>1024</v>
      </c>
      <c r="D284" s="13" t="s">
        <v>1025</v>
      </c>
      <c r="E284" s="20" t="s">
        <v>1026</v>
      </c>
      <c r="F284" s="22">
        <v>475</v>
      </c>
      <c r="G284" s="22">
        <v>0</v>
      </c>
      <c r="H284" s="27" t="s">
        <v>33</v>
      </c>
      <c r="I284" s="40" t="s">
        <v>42</v>
      </c>
      <c r="J284" s="28">
        <v>2014</v>
      </c>
      <c r="K284" s="29" t="s">
        <v>34</v>
      </c>
      <c r="L284" s="30" t="s">
        <v>211</v>
      </c>
      <c r="M284" s="31">
        <v>10000</v>
      </c>
      <c r="N284" s="32">
        <v>0</v>
      </c>
      <c r="O284" s="35">
        <v>10000</v>
      </c>
      <c r="P284" s="21">
        <v>0</v>
      </c>
      <c r="Q284" s="21">
        <v>0</v>
      </c>
      <c r="R284" s="23">
        <v>0</v>
      </c>
    </row>
    <row r="285" spans="1:18" x14ac:dyDescent="0.35">
      <c r="A285" s="24" t="s">
        <v>63</v>
      </c>
      <c r="B285" s="33" t="s">
        <v>134</v>
      </c>
      <c r="C285" s="26" t="s">
        <v>1027</v>
      </c>
      <c r="D285" s="13" t="s">
        <v>1028</v>
      </c>
      <c r="E285" s="20" t="s">
        <v>1029</v>
      </c>
      <c r="F285" s="22">
        <v>242</v>
      </c>
      <c r="G285" s="22">
        <v>0</v>
      </c>
      <c r="H285" s="27" t="s">
        <v>33</v>
      </c>
      <c r="I285" s="40" t="s">
        <v>42</v>
      </c>
      <c r="J285" s="28">
        <v>2014</v>
      </c>
      <c r="K285" s="34" t="s">
        <v>34</v>
      </c>
      <c r="L285" s="30" t="s">
        <v>1007</v>
      </c>
      <c r="M285" s="31">
        <v>13000</v>
      </c>
      <c r="N285" s="32">
        <v>13000</v>
      </c>
      <c r="O285" s="35">
        <v>0</v>
      </c>
      <c r="P285" s="21">
        <v>0</v>
      </c>
      <c r="Q285" s="21">
        <v>0</v>
      </c>
      <c r="R285" s="23">
        <v>0</v>
      </c>
    </row>
    <row r="286" spans="1:18" x14ac:dyDescent="0.35">
      <c r="A286" s="24" t="s">
        <v>38</v>
      </c>
      <c r="B286" s="33" t="s">
        <v>148</v>
      </c>
      <c r="C286" s="26" t="s">
        <v>1030</v>
      </c>
      <c r="D286" s="13" t="s">
        <v>1031</v>
      </c>
      <c r="E286" s="20" t="s">
        <v>1032</v>
      </c>
      <c r="F286" s="22">
        <v>485</v>
      </c>
      <c r="G286" s="22">
        <v>550</v>
      </c>
      <c r="H286" s="27" t="s">
        <v>52</v>
      </c>
      <c r="I286" s="40" t="s">
        <v>42</v>
      </c>
      <c r="J286" s="28">
        <v>2016</v>
      </c>
      <c r="K286" s="34" t="s">
        <v>34</v>
      </c>
      <c r="L286" s="30" t="s">
        <v>444</v>
      </c>
      <c r="M286" s="43">
        <v>22800</v>
      </c>
      <c r="N286" s="32">
        <v>0</v>
      </c>
      <c r="O286" s="35">
        <v>22800</v>
      </c>
      <c r="P286" s="21">
        <v>0</v>
      </c>
      <c r="Q286" s="21">
        <v>0</v>
      </c>
      <c r="R286" s="23">
        <v>0</v>
      </c>
    </row>
    <row r="287" spans="1:18" x14ac:dyDescent="0.35">
      <c r="A287" s="45" t="s">
        <v>63</v>
      </c>
      <c r="B287" s="33" t="s">
        <v>64</v>
      </c>
      <c r="C287" s="36" t="s">
        <v>1033</v>
      </c>
      <c r="D287" s="13" t="s">
        <v>1034</v>
      </c>
      <c r="E287" s="20" t="s">
        <v>1035</v>
      </c>
      <c r="F287" s="22">
        <v>235</v>
      </c>
      <c r="G287" s="22">
        <v>0</v>
      </c>
      <c r="H287" s="27" t="s">
        <v>33</v>
      </c>
      <c r="I287" s="40" t="s">
        <v>42</v>
      </c>
      <c r="J287" s="28">
        <v>2014</v>
      </c>
      <c r="K287" s="29" t="s">
        <v>34</v>
      </c>
      <c r="L287" s="30" t="s">
        <v>392</v>
      </c>
      <c r="M287" s="31">
        <v>9932</v>
      </c>
      <c r="N287" s="32">
        <v>9932</v>
      </c>
      <c r="O287" s="21">
        <v>0</v>
      </c>
      <c r="P287" s="21">
        <v>0</v>
      </c>
      <c r="Q287" s="21">
        <v>0</v>
      </c>
      <c r="R287" s="23">
        <v>0</v>
      </c>
    </row>
    <row r="288" spans="1:18" x14ac:dyDescent="0.35">
      <c r="A288" s="24" t="s">
        <v>48</v>
      </c>
      <c r="B288" s="33" t="s">
        <v>49</v>
      </c>
      <c r="C288" s="26" t="s">
        <v>1036</v>
      </c>
      <c r="D288" s="13" t="s">
        <v>1037</v>
      </c>
      <c r="E288" s="20" t="s">
        <v>1038</v>
      </c>
      <c r="F288" s="22">
        <v>465.8</v>
      </c>
      <c r="G288" s="22">
        <v>0</v>
      </c>
      <c r="H288" s="27" t="s">
        <v>33</v>
      </c>
      <c r="I288" s="40" t="s">
        <v>42</v>
      </c>
      <c r="J288" s="28">
        <v>2014</v>
      </c>
      <c r="K288" s="34" t="s">
        <v>34</v>
      </c>
      <c r="L288" s="30" t="s">
        <v>1039</v>
      </c>
      <c r="M288" s="31">
        <v>15050</v>
      </c>
      <c r="N288" s="32">
        <v>2200</v>
      </c>
      <c r="O288" s="21">
        <v>6350</v>
      </c>
      <c r="P288" s="21">
        <v>0</v>
      </c>
      <c r="Q288" s="21">
        <v>6500</v>
      </c>
      <c r="R288" s="23">
        <v>0</v>
      </c>
    </row>
    <row r="289" spans="1:18" x14ac:dyDescent="0.35">
      <c r="A289" s="24" t="s">
        <v>85</v>
      </c>
      <c r="B289" s="33" t="s">
        <v>558</v>
      </c>
      <c r="C289" s="26" t="s">
        <v>1040</v>
      </c>
      <c r="D289" s="13" t="s">
        <v>1041</v>
      </c>
      <c r="E289" s="20" t="s">
        <v>1042</v>
      </c>
      <c r="F289" s="22">
        <v>582</v>
      </c>
      <c r="G289" s="22">
        <v>0</v>
      </c>
      <c r="H289" s="27" t="s">
        <v>33</v>
      </c>
      <c r="I289" s="40" t="s">
        <v>42</v>
      </c>
      <c r="J289" s="28">
        <v>2016</v>
      </c>
      <c r="K289" s="29" t="s">
        <v>47</v>
      </c>
      <c r="L289" s="30" t="s">
        <v>1043</v>
      </c>
      <c r="M289" s="31">
        <v>20000</v>
      </c>
      <c r="N289" s="32">
        <v>20000</v>
      </c>
      <c r="O289" s="35">
        <v>0</v>
      </c>
      <c r="P289" s="21">
        <v>0</v>
      </c>
      <c r="Q289" s="21">
        <v>0</v>
      </c>
      <c r="R289" s="23">
        <v>0</v>
      </c>
    </row>
    <row r="290" spans="1:18" ht="10.5" customHeight="1" x14ac:dyDescent="0.35">
      <c r="A290" s="24" t="s">
        <v>94</v>
      </c>
      <c r="B290" s="33" t="s">
        <v>95</v>
      </c>
      <c r="C290" s="26" t="s">
        <v>1044</v>
      </c>
      <c r="D290" s="13" t="s">
        <v>1045</v>
      </c>
      <c r="E290" s="20" t="s">
        <v>1046</v>
      </c>
      <c r="F290" s="22">
        <v>461</v>
      </c>
      <c r="G290" s="22">
        <v>0</v>
      </c>
      <c r="H290" s="27" t="s">
        <v>33</v>
      </c>
      <c r="I290" s="40" t="s">
        <v>42</v>
      </c>
      <c r="J290" s="28">
        <v>2014</v>
      </c>
      <c r="K290" s="34" t="s">
        <v>34</v>
      </c>
      <c r="L290" s="30" t="s">
        <v>1047</v>
      </c>
      <c r="M290" s="31">
        <v>12000</v>
      </c>
      <c r="N290" s="32">
        <v>10800</v>
      </c>
      <c r="O290" s="21">
        <v>1200</v>
      </c>
      <c r="P290" s="21">
        <v>0</v>
      </c>
      <c r="Q290" s="35">
        <v>0</v>
      </c>
      <c r="R290" s="23">
        <v>0</v>
      </c>
    </row>
    <row r="291" spans="1:18" x14ac:dyDescent="0.35">
      <c r="A291" s="24" t="s">
        <v>94</v>
      </c>
      <c r="B291" s="33" t="s">
        <v>95</v>
      </c>
      <c r="C291" s="26" t="s">
        <v>1044</v>
      </c>
      <c r="D291" s="13" t="s">
        <v>1048</v>
      </c>
      <c r="E291" s="20" t="s">
        <v>1046</v>
      </c>
      <c r="F291" s="22">
        <v>500</v>
      </c>
      <c r="G291" s="22">
        <v>0</v>
      </c>
      <c r="H291" s="27" t="s">
        <v>33</v>
      </c>
      <c r="I291" s="40" t="s">
        <v>42</v>
      </c>
      <c r="J291" s="28">
        <v>2017</v>
      </c>
      <c r="K291" s="29" t="s">
        <v>34</v>
      </c>
      <c r="L291" s="30" t="s">
        <v>1047</v>
      </c>
      <c r="M291" s="31">
        <v>12000</v>
      </c>
      <c r="N291" s="32">
        <v>10800</v>
      </c>
      <c r="O291" s="21">
        <v>1200</v>
      </c>
      <c r="P291" s="21">
        <v>0</v>
      </c>
      <c r="Q291" s="21">
        <v>0</v>
      </c>
      <c r="R291" s="23">
        <v>0</v>
      </c>
    </row>
    <row r="292" spans="1:18" x14ac:dyDescent="0.35">
      <c r="A292" s="24" t="s">
        <v>91</v>
      </c>
      <c r="B292" s="33" t="s">
        <v>1008</v>
      </c>
      <c r="C292" s="26" t="s">
        <v>1049</v>
      </c>
      <c r="D292" s="13" t="s">
        <v>1049</v>
      </c>
      <c r="E292" s="20" t="s">
        <v>1050</v>
      </c>
      <c r="F292" s="22">
        <v>180</v>
      </c>
      <c r="G292" s="22">
        <v>0</v>
      </c>
      <c r="H292" s="27" t="s">
        <v>33</v>
      </c>
      <c r="I292" s="40" t="s">
        <v>42</v>
      </c>
      <c r="J292" s="28">
        <v>2013</v>
      </c>
      <c r="K292" s="29" t="s">
        <v>34</v>
      </c>
      <c r="L292" s="30" t="s">
        <v>496</v>
      </c>
      <c r="M292" s="31">
        <v>2500</v>
      </c>
      <c r="N292" s="32">
        <v>2500</v>
      </c>
      <c r="O292" s="21">
        <v>0</v>
      </c>
      <c r="P292" s="21">
        <v>0</v>
      </c>
      <c r="Q292" s="21">
        <v>0</v>
      </c>
      <c r="R292" s="23">
        <v>0</v>
      </c>
    </row>
    <row r="293" spans="1:18" ht="10.5" customHeight="1" x14ac:dyDescent="0.3">
      <c r="A293" s="24" t="s">
        <v>63</v>
      </c>
      <c r="B293" s="25" t="s">
        <v>382</v>
      </c>
      <c r="C293" s="26"/>
      <c r="D293" s="13" t="s">
        <v>2136</v>
      </c>
      <c r="E293" s="13" t="s">
        <v>1051</v>
      </c>
      <c r="F293" s="22">
        <v>1300</v>
      </c>
      <c r="G293" s="22">
        <v>0</v>
      </c>
      <c r="H293" s="27" t="s">
        <v>33</v>
      </c>
      <c r="I293" s="13" t="s">
        <v>42</v>
      </c>
      <c r="J293" s="49">
        <v>2014</v>
      </c>
      <c r="K293" s="29" t="s">
        <v>34</v>
      </c>
      <c r="L293" s="30" t="s">
        <v>65</v>
      </c>
      <c r="M293" s="31">
        <v>28900</v>
      </c>
      <c r="N293" s="32">
        <v>7300</v>
      </c>
      <c r="O293" s="21">
        <v>21600</v>
      </c>
      <c r="P293" s="21">
        <v>0</v>
      </c>
      <c r="Q293" s="21">
        <v>0</v>
      </c>
      <c r="R293" s="23">
        <v>0</v>
      </c>
    </row>
    <row r="294" spans="1:18" x14ac:dyDescent="0.35">
      <c r="A294" s="24" t="s">
        <v>35</v>
      </c>
      <c r="B294" s="33" t="s">
        <v>36</v>
      </c>
      <c r="C294" s="26" t="s">
        <v>2067</v>
      </c>
      <c r="D294" s="13" t="s">
        <v>1052</v>
      </c>
      <c r="E294" s="20" t="s">
        <v>1053</v>
      </c>
      <c r="F294" s="22">
        <v>498</v>
      </c>
      <c r="G294" s="22">
        <v>826.1</v>
      </c>
      <c r="H294" s="27" t="s">
        <v>52</v>
      </c>
      <c r="I294" s="40" t="s">
        <v>42</v>
      </c>
      <c r="J294" s="28">
        <v>2015</v>
      </c>
      <c r="K294" s="29" t="s">
        <v>34</v>
      </c>
      <c r="L294" s="30" t="s">
        <v>1054</v>
      </c>
      <c r="M294" s="31">
        <v>69340</v>
      </c>
      <c r="N294" s="32">
        <v>6840</v>
      </c>
      <c r="O294" s="21">
        <v>62500</v>
      </c>
      <c r="P294" s="21">
        <v>0</v>
      </c>
      <c r="Q294" s="21">
        <v>0</v>
      </c>
      <c r="R294" s="23">
        <v>0</v>
      </c>
    </row>
    <row r="295" spans="1:18" x14ac:dyDescent="0.35">
      <c r="A295" s="24" t="s">
        <v>48</v>
      </c>
      <c r="B295" s="33" t="s">
        <v>210</v>
      </c>
      <c r="C295" s="26" t="s">
        <v>2064</v>
      </c>
      <c r="D295" s="13" t="s">
        <v>2111</v>
      </c>
      <c r="E295" s="13" t="s">
        <v>1055</v>
      </c>
      <c r="F295" s="35">
        <v>500</v>
      </c>
      <c r="G295" s="27">
        <v>550</v>
      </c>
      <c r="H295" s="27" t="s">
        <v>52</v>
      </c>
      <c r="I295" s="13" t="s">
        <v>42</v>
      </c>
      <c r="J295" s="28">
        <v>2014</v>
      </c>
      <c r="K295" s="29" t="s">
        <v>34</v>
      </c>
      <c r="L295" s="30" t="s">
        <v>267</v>
      </c>
      <c r="M295" s="31">
        <v>35000</v>
      </c>
      <c r="N295" s="32">
        <v>0</v>
      </c>
      <c r="O295" s="21">
        <v>35000</v>
      </c>
      <c r="P295" s="21">
        <v>0</v>
      </c>
      <c r="Q295" s="21">
        <v>0</v>
      </c>
      <c r="R295" s="23">
        <v>0</v>
      </c>
    </row>
    <row r="296" spans="1:18" x14ac:dyDescent="0.35">
      <c r="A296" s="24" t="s">
        <v>44</v>
      </c>
      <c r="B296" s="33" t="s">
        <v>45</v>
      </c>
      <c r="C296" s="26" t="s">
        <v>1056</v>
      </c>
      <c r="D296" s="13" t="s">
        <v>1057</v>
      </c>
      <c r="E296" s="20" t="s">
        <v>1058</v>
      </c>
      <c r="F296" s="22">
        <v>500</v>
      </c>
      <c r="G296" s="22">
        <v>0</v>
      </c>
      <c r="H296" s="27" t="s">
        <v>33</v>
      </c>
      <c r="I296" s="40" t="s">
        <v>42</v>
      </c>
      <c r="J296" s="28">
        <v>2012</v>
      </c>
      <c r="K296" s="29" t="s">
        <v>34</v>
      </c>
      <c r="L296" s="30" t="s">
        <v>161</v>
      </c>
      <c r="M296" s="31">
        <v>16875</v>
      </c>
      <c r="N296" s="32">
        <v>10000</v>
      </c>
      <c r="O296" s="35">
        <v>6875</v>
      </c>
      <c r="P296" s="21">
        <v>0</v>
      </c>
      <c r="Q296" s="21">
        <v>0</v>
      </c>
      <c r="R296" s="23">
        <v>0</v>
      </c>
    </row>
    <row r="297" spans="1:18" x14ac:dyDescent="0.35">
      <c r="A297" s="24" t="s">
        <v>85</v>
      </c>
      <c r="B297" s="33" t="s">
        <v>252</v>
      </c>
      <c r="C297" s="42" t="s">
        <v>1000</v>
      </c>
      <c r="D297" s="13" t="s">
        <v>2106</v>
      </c>
      <c r="E297" s="20" t="s">
        <v>1499</v>
      </c>
      <c r="F297" s="22">
        <v>370</v>
      </c>
      <c r="G297" s="22">
        <v>950</v>
      </c>
      <c r="H297" s="27" t="s">
        <v>214</v>
      </c>
      <c r="I297" s="40" t="s">
        <v>42</v>
      </c>
      <c r="J297" s="28">
        <v>2019</v>
      </c>
      <c r="K297" s="34" t="s">
        <v>47</v>
      </c>
      <c r="L297" s="30" t="s">
        <v>2177</v>
      </c>
      <c r="M297" s="31">
        <v>80000</v>
      </c>
      <c r="N297" s="32">
        <v>0</v>
      </c>
      <c r="O297" s="35">
        <v>0</v>
      </c>
      <c r="P297" s="21">
        <v>80000</v>
      </c>
      <c r="Q297" s="21">
        <v>0</v>
      </c>
      <c r="R297" s="23">
        <v>0</v>
      </c>
    </row>
    <row r="298" spans="1:18" x14ac:dyDescent="0.35">
      <c r="A298" s="24" t="s">
        <v>63</v>
      </c>
      <c r="B298" s="33" t="s">
        <v>382</v>
      </c>
      <c r="C298" s="26" t="s">
        <v>508</v>
      </c>
      <c r="D298" s="13" t="s">
        <v>1059</v>
      </c>
      <c r="E298" s="20" t="s">
        <v>1060</v>
      </c>
      <c r="F298" s="22">
        <v>3200</v>
      </c>
      <c r="G298" s="22">
        <v>0</v>
      </c>
      <c r="H298" s="27" t="s">
        <v>33</v>
      </c>
      <c r="I298" s="40" t="s">
        <v>42</v>
      </c>
      <c r="J298" s="28">
        <v>2002</v>
      </c>
      <c r="K298" s="29" t="s">
        <v>47</v>
      </c>
      <c r="L298" s="30" t="s">
        <v>152</v>
      </c>
      <c r="M298" s="31">
        <v>80000</v>
      </c>
      <c r="N298" s="32">
        <v>0</v>
      </c>
      <c r="O298" s="35">
        <v>0</v>
      </c>
      <c r="P298" s="21">
        <v>80000</v>
      </c>
      <c r="Q298" s="21">
        <v>0</v>
      </c>
      <c r="R298" s="23">
        <v>0</v>
      </c>
    </row>
    <row r="299" spans="1:18" x14ac:dyDescent="0.35">
      <c r="A299" s="24" t="s">
        <v>48</v>
      </c>
      <c r="B299" s="33" t="s">
        <v>49</v>
      </c>
      <c r="C299" s="26" t="s">
        <v>275</v>
      </c>
      <c r="D299" s="13" t="s">
        <v>1061</v>
      </c>
      <c r="E299" s="20" t="s">
        <v>1062</v>
      </c>
      <c r="F299" s="22">
        <v>1500</v>
      </c>
      <c r="G299" s="22">
        <v>0</v>
      </c>
      <c r="H299" s="27" t="s">
        <v>33</v>
      </c>
      <c r="I299" s="40" t="s">
        <v>42</v>
      </c>
      <c r="J299" s="28">
        <v>2013</v>
      </c>
      <c r="K299" s="29" t="s">
        <v>47</v>
      </c>
      <c r="L299" s="30" t="s">
        <v>612</v>
      </c>
      <c r="M299" s="31">
        <v>28000</v>
      </c>
      <c r="N299" s="32">
        <v>0</v>
      </c>
      <c r="O299" s="35">
        <v>0</v>
      </c>
      <c r="P299" s="21">
        <v>0</v>
      </c>
      <c r="Q299" s="21">
        <v>0</v>
      </c>
      <c r="R299" s="23">
        <v>28000</v>
      </c>
    </row>
    <row r="300" spans="1:18" x14ac:dyDescent="0.35">
      <c r="A300" s="24" t="s">
        <v>91</v>
      </c>
      <c r="B300" s="33" t="s">
        <v>128</v>
      </c>
      <c r="C300" s="26" t="s">
        <v>1063</v>
      </c>
      <c r="D300" s="13" t="s">
        <v>1064</v>
      </c>
      <c r="E300" s="20" t="s">
        <v>1065</v>
      </c>
      <c r="F300" s="22">
        <v>146</v>
      </c>
      <c r="G300" s="22">
        <v>0</v>
      </c>
      <c r="H300" s="27" t="s">
        <v>33</v>
      </c>
      <c r="I300" s="40" t="s">
        <v>42</v>
      </c>
      <c r="J300" s="28">
        <v>2015</v>
      </c>
      <c r="K300" s="34" t="s">
        <v>34</v>
      </c>
      <c r="L300" s="30" t="s">
        <v>444</v>
      </c>
      <c r="M300" s="43">
        <v>3256</v>
      </c>
      <c r="N300" s="32">
        <v>0</v>
      </c>
      <c r="O300" s="21">
        <v>3256</v>
      </c>
      <c r="P300" s="21">
        <v>0</v>
      </c>
      <c r="Q300" s="21">
        <v>0</v>
      </c>
      <c r="R300" s="23">
        <v>0</v>
      </c>
    </row>
    <row r="301" spans="1:18" x14ac:dyDescent="0.35">
      <c r="A301" s="24" t="s">
        <v>48</v>
      </c>
      <c r="B301" s="33" t="s">
        <v>210</v>
      </c>
      <c r="C301" s="26" t="s">
        <v>1066</v>
      </c>
      <c r="D301" s="13" t="s">
        <v>1067</v>
      </c>
      <c r="E301" s="20" t="s">
        <v>1068</v>
      </c>
      <c r="F301" s="22">
        <v>194.5</v>
      </c>
      <c r="G301" s="22">
        <v>0</v>
      </c>
      <c r="H301" s="27" t="s">
        <v>33</v>
      </c>
      <c r="I301" s="40" t="s">
        <v>42</v>
      </c>
      <c r="J301" s="28">
        <v>2014</v>
      </c>
      <c r="K301" s="29" t="s">
        <v>34</v>
      </c>
      <c r="L301" s="30" t="s">
        <v>1069</v>
      </c>
      <c r="M301" s="31">
        <v>12500</v>
      </c>
      <c r="N301" s="32">
        <v>10500</v>
      </c>
      <c r="O301" s="35">
        <v>2000</v>
      </c>
      <c r="P301" s="21">
        <v>0</v>
      </c>
      <c r="Q301" s="21">
        <v>0</v>
      </c>
      <c r="R301" s="23">
        <v>0</v>
      </c>
    </row>
    <row r="302" spans="1:18" x14ac:dyDescent="0.35">
      <c r="A302" s="24" t="s">
        <v>35</v>
      </c>
      <c r="B302" s="25" t="s">
        <v>260</v>
      </c>
      <c r="C302" s="42" t="s">
        <v>1070</v>
      </c>
      <c r="D302" s="13" t="s">
        <v>1071</v>
      </c>
      <c r="E302" s="20" t="s">
        <v>1072</v>
      </c>
      <c r="F302" s="22">
        <v>116</v>
      </c>
      <c r="G302" s="22">
        <v>0</v>
      </c>
      <c r="H302" s="27" t="s">
        <v>33</v>
      </c>
      <c r="I302" s="40" t="s">
        <v>42</v>
      </c>
      <c r="J302" s="28">
        <v>2013</v>
      </c>
      <c r="K302" s="34" t="s">
        <v>34</v>
      </c>
      <c r="L302" s="30" t="s">
        <v>504</v>
      </c>
      <c r="M302" s="43">
        <v>2964</v>
      </c>
      <c r="N302" s="32">
        <v>0</v>
      </c>
      <c r="O302" s="21">
        <v>2964</v>
      </c>
      <c r="P302" s="21">
        <v>0</v>
      </c>
      <c r="Q302" s="21">
        <v>0</v>
      </c>
      <c r="R302" s="23">
        <v>0</v>
      </c>
    </row>
    <row r="303" spans="1:18" x14ac:dyDescent="0.35">
      <c r="A303" s="24" t="s">
        <v>38</v>
      </c>
      <c r="B303" s="33" t="s">
        <v>39</v>
      </c>
      <c r="C303" s="26" t="s">
        <v>1073</v>
      </c>
      <c r="D303" s="13" t="s">
        <v>1074</v>
      </c>
      <c r="E303" s="20" t="s">
        <v>1075</v>
      </c>
      <c r="F303" s="22">
        <v>495</v>
      </c>
      <c r="G303" s="22">
        <v>0</v>
      </c>
      <c r="H303" s="27" t="s">
        <v>33</v>
      </c>
      <c r="I303" s="40" t="s">
        <v>42</v>
      </c>
      <c r="J303" s="28">
        <v>2014</v>
      </c>
      <c r="K303" s="29" t="s">
        <v>34</v>
      </c>
      <c r="L303" s="30" t="s">
        <v>1076</v>
      </c>
      <c r="M303" s="31">
        <v>13300</v>
      </c>
      <c r="N303" s="32">
        <v>3000</v>
      </c>
      <c r="O303" s="21">
        <v>10300</v>
      </c>
      <c r="P303" s="21">
        <v>0</v>
      </c>
      <c r="Q303" s="21">
        <v>0</v>
      </c>
      <c r="R303" s="23">
        <v>0</v>
      </c>
    </row>
    <row r="304" spans="1:18" x14ac:dyDescent="0.35">
      <c r="A304" s="24" t="s">
        <v>85</v>
      </c>
      <c r="B304" s="33" t="s">
        <v>86</v>
      </c>
      <c r="C304" s="26" t="s">
        <v>333</v>
      </c>
      <c r="D304" s="13" t="s">
        <v>1077</v>
      </c>
      <c r="E304" s="20" t="s">
        <v>1078</v>
      </c>
      <c r="F304" s="22">
        <v>700</v>
      </c>
      <c r="G304" s="22">
        <v>0</v>
      </c>
      <c r="H304" s="27" t="s">
        <v>33</v>
      </c>
      <c r="I304" s="40" t="s">
        <v>42</v>
      </c>
      <c r="J304" s="28">
        <v>2014</v>
      </c>
      <c r="K304" s="34" t="s">
        <v>34</v>
      </c>
      <c r="L304" s="30" t="s">
        <v>1079</v>
      </c>
      <c r="M304" s="31">
        <v>6500</v>
      </c>
      <c r="N304" s="32">
        <v>4000</v>
      </c>
      <c r="O304" s="35">
        <v>2000</v>
      </c>
      <c r="P304" s="21">
        <v>0</v>
      </c>
      <c r="Q304" s="21">
        <v>500</v>
      </c>
      <c r="R304" s="23">
        <v>0</v>
      </c>
    </row>
    <row r="305" spans="1:18" x14ac:dyDescent="0.35">
      <c r="A305" s="24" t="s">
        <v>35</v>
      </c>
      <c r="B305" s="33" t="s">
        <v>36</v>
      </c>
      <c r="C305" s="26" t="s">
        <v>359</v>
      </c>
      <c r="D305" s="13" t="s">
        <v>1080</v>
      </c>
      <c r="E305" s="20" t="s">
        <v>1081</v>
      </c>
      <c r="F305" s="22">
        <v>475</v>
      </c>
      <c r="G305" s="22">
        <v>0</v>
      </c>
      <c r="H305" s="27" t="s">
        <v>33</v>
      </c>
      <c r="I305" s="40" t="s">
        <v>42</v>
      </c>
      <c r="J305" s="28">
        <v>2014</v>
      </c>
      <c r="K305" s="29" t="s">
        <v>34</v>
      </c>
      <c r="L305" s="30" t="s">
        <v>1082</v>
      </c>
      <c r="M305" s="31">
        <v>10430</v>
      </c>
      <c r="N305" s="32">
        <v>4930</v>
      </c>
      <c r="O305" s="35">
        <v>5500</v>
      </c>
      <c r="P305" s="21">
        <v>0</v>
      </c>
      <c r="Q305" s="21">
        <v>0</v>
      </c>
      <c r="R305" s="23">
        <v>0</v>
      </c>
    </row>
    <row r="306" spans="1:18" x14ac:dyDescent="0.35">
      <c r="A306" s="24" t="s">
        <v>63</v>
      </c>
      <c r="B306" s="33" t="s">
        <v>64</v>
      </c>
      <c r="C306" s="26" t="s">
        <v>1083</v>
      </c>
      <c r="D306" s="13" t="s">
        <v>1084</v>
      </c>
      <c r="E306" s="20" t="s">
        <v>1085</v>
      </c>
      <c r="F306" s="22">
        <v>350</v>
      </c>
      <c r="G306" s="22">
        <v>0</v>
      </c>
      <c r="H306" s="27" t="s">
        <v>33</v>
      </c>
      <c r="I306" s="40" t="s">
        <v>42</v>
      </c>
      <c r="J306" s="28">
        <v>2011</v>
      </c>
      <c r="K306" s="29" t="s">
        <v>34</v>
      </c>
      <c r="L306" s="30" t="s">
        <v>179</v>
      </c>
      <c r="M306" s="31">
        <v>21000</v>
      </c>
      <c r="N306" s="32">
        <v>6000</v>
      </c>
      <c r="O306" s="21">
        <v>15000</v>
      </c>
      <c r="P306" s="21">
        <v>0</v>
      </c>
      <c r="Q306" s="21">
        <v>0</v>
      </c>
      <c r="R306" s="23">
        <v>0</v>
      </c>
    </row>
    <row r="307" spans="1:18" x14ac:dyDescent="0.35">
      <c r="A307" s="24" t="s">
        <v>63</v>
      </c>
      <c r="B307" s="33" t="s">
        <v>134</v>
      </c>
      <c r="C307" s="26" t="s">
        <v>135</v>
      </c>
      <c r="D307" s="13" t="s">
        <v>1086</v>
      </c>
      <c r="E307" s="20" t="s">
        <v>1087</v>
      </c>
      <c r="F307" s="22">
        <v>150</v>
      </c>
      <c r="G307" s="22">
        <v>0</v>
      </c>
      <c r="H307" s="27" t="s">
        <v>33</v>
      </c>
      <c r="I307" s="40" t="s">
        <v>42</v>
      </c>
      <c r="J307" s="28">
        <v>2015</v>
      </c>
      <c r="K307" s="29" t="s">
        <v>34</v>
      </c>
      <c r="L307" s="30" t="s">
        <v>836</v>
      </c>
      <c r="M307" s="31">
        <v>4683</v>
      </c>
      <c r="N307" s="32">
        <v>0</v>
      </c>
      <c r="O307" s="21">
        <v>4683</v>
      </c>
      <c r="P307" s="21">
        <v>0</v>
      </c>
      <c r="Q307" s="35">
        <v>0</v>
      </c>
      <c r="R307" s="23">
        <v>0</v>
      </c>
    </row>
    <row r="308" spans="1:18" x14ac:dyDescent="0.35">
      <c r="A308" s="24" t="s">
        <v>35</v>
      </c>
      <c r="B308" s="33" t="s">
        <v>36</v>
      </c>
      <c r="C308" s="26" t="s">
        <v>1088</v>
      </c>
      <c r="D308" s="13" t="s">
        <v>1089</v>
      </c>
      <c r="E308" s="20" t="s">
        <v>1090</v>
      </c>
      <c r="F308" s="22">
        <v>178.8</v>
      </c>
      <c r="G308" s="22">
        <v>0</v>
      </c>
      <c r="H308" s="27" t="s">
        <v>33</v>
      </c>
      <c r="I308" s="40" t="s">
        <v>42</v>
      </c>
      <c r="J308" s="28">
        <v>2015</v>
      </c>
      <c r="K308" s="29" t="s">
        <v>34</v>
      </c>
      <c r="L308" s="30" t="s">
        <v>1091</v>
      </c>
      <c r="M308" s="31">
        <v>5500</v>
      </c>
      <c r="N308" s="32">
        <v>1000</v>
      </c>
      <c r="O308" s="35">
        <v>4500</v>
      </c>
      <c r="P308" s="21">
        <v>0</v>
      </c>
      <c r="Q308" s="21">
        <v>0</v>
      </c>
      <c r="R308" s="23">
        <v>0</v>
      </c>
    </row>
    <row r="309" spans="1:18" ht="10.5" customHeight="1" x14ac:dyDescent="0.35">
      <c r="A309" s="24" t="s">
        <v>373</v>
      </c>
      <c r="B309" s="33" t="s">
        <v>594</v>
      </c>
      <c r="C309" s="26" t="s">
        <v>1092</v>
      </c>
      <c r="D309" s="13" t="s">
        <v>1093</v>
      </c>
      <c r="E309" s="13" t="s">
        <v>1094</v>
      </c>
      <c r="F309" s="35">
        <v>500</v>
      </c>
      <c r="G309" s="22">
        <v>0</v>
      </c>
      <c r="H309" s="27" t="s">
        <v>33</v>
      </c>
      <c r="I309" s="40" t="s">
        <v>42</v>
      </c>
      <c r="J309" s="28">
        <v>2017</v>
      </c>
      <c r="K309" s="29" t="s">
        <v>34</v>
      </c>
      <c r="L309" s="30" t="s">
        <v>1095</v>
      </c>
      <c r="M309" s="31">
        <v>16000</v>
      </c>
      <c r="N309" s="32">
        <v>10000</v>
      </c>
      <c r="O309" s="35">
        <v>6000</v>
      </c>
      <c r="P309" s="35">
        <v>0</v>
      </c>
      <c r="Q309" s="21">
        <v>0</v>
      </c>
      <c r="R309" s="23">
        <v>0</v>
      </c>
    </row>
    <row r="310" spans="1:18" x14ac:dyDescent="0.35">
      <c r="A310" s="24" t="s">
        <v>38</v>
      </c>
      <c r="B310" s="33" t="s">
        <v>39</v>
      </c>
      <c r="C310" s="26" t="s">
        <v>1096</v>
      </c>
      <c r="D310" s="13" t="s">
        <v>1097</v>
      </c>
      <c r="E310" s="13" t="s">
        <v>1098</v>
      </c>
      <c r="F310" s="35">
        <v>487</v>
      </c>
      <c r="G310" s="22">
        <v>0</v>
      </c>
      <c r="H310" s="27" t="s">
        <v>33</v>
      </c>
      <c r="I310" s="40" t="s">
        <v>42</v>
      </c>
      <c r="J310" s="28">
        <v>2016</v>
      </c>
      <c r="K310" s="29" t="s">
        <v>47</v>
      </c>
      <c r="L310" s="30" t="s">
        <v>1099</v>
      </c>
      <c r="M310" s="31">
        <v>15700</v>
      </c>
      <c r="N310" s="32">
        <v>2000</v>
      </c>
      <c r="O310" s="21">
        <v>0</v>
      </c>
      <c r="P310" s="21">
        <v>0</v>
      </c>
      <c r="Q310" s="21">
        <v>0</v>
      </c>
      <c r="R310" s="23">
        <v>13700</v>
      </c>
    </row>
    <row r="311" spans="1:18" ht="10.5" customHeight="1" x14ac:dyDescent="0.35">
      <c r="A311" s="24" t="s">
        <v>35</v>
      </c>
      <c r="B311" s="33" t="s">
        <v>263</v>
      </c>
      <c r="C311" s="26" t="s">
        <v>1100</v>
      </c>
      <c r="D311" s="13" t="s">
        <v>1101</v>
      </c>
      <c r="E311" s="20" t="s">
        <v>1102</v>
      </c>
      <c r="F311" s="22">
        <v>2000</v>
      </c>
      <c r="G311" s="22">
        <v>0</v>
      </c>
      <c r="H311" s="27" t="s">
        <v>33</v>
      </c>
      <c r="I311" s="40" t="s">
        <v>42</v>
      </c>
      <c r="J311" s="28">
        <v>2021</v>
      </c>
      <c r="K311" s="29" t="s">
        <v>34</v>
      </c>
      <c r="L311" s="30" t="s">
        <v>1103</v>
      </c>
      <c r="M311" s="31">
        <v>30000</v>
      </c>
      <c r="N311" s="32">
        <v>6000</v>
      </c>
      <c r="O311" s="35">
        <v>24000</v>
      </c>
      <c r="P311" s="21">
        <v>0</v>
      </c>
      <c r="Q311" s="21">
        <v>0</v>
      </c>
      <c r="R311" s="23">
        <v>0</v>
      </c>
    </row>
    <row r="312" spans="1:18" x14ac:dyDescent="0.35">
      <c r="A312" s="24" t="s">
        <v>85</v>
      </c>
      <c r="B312" s="33" t="s">
        <v>86</v>
      </c>
      <c r="C312" s="26" t="s">
        <v>333</v>
      </c>
      <c r="D312" s="13" t="s">
        <v>1104</v>
      </c>
      <c r="E312" s="20" t="s">
        <v>1105</v>
      </c>
      <c r="F312" s="22">
        <v>1100</v>
      </c>
      <c r="G312" s="22">
        <v>0</v>
      </c>
      <c r="H312" s="27" t="s">
        <v>33</v>
      </c>
      <c r="I312" s="40" t="s">
        <v>42</v>
      </c>
      <c r="J312" s="28">
        <v>2014</v>
      </c>
      <c r="K312" s="29" t="s">
        <v>34</v>
      </c>
      <c r="L312" s="30" t="s">
        <v>179</v>
      </c>
      <c r="M312" s="31">
        <v>8250</v>
      </c>
      <c r="N312" s="32">
        <v>3900</v>
      </c>
      <c r="O312" s="21">
        <v>4350</v>
      </c>
      <c r="P312" s="21">
        <v>0</v>
      </c>
      <c r="Q312" s="21">
        <v>0</v>
      </c>
      <c r="R312" s="23">
        <v>0</v>
      </c>
    </row>
    <row r="313" spans="1:18" x14ac:dyDescent="0.35">
      <c r="A313" s="24" t="s">
        <v>44</v>
      </c>
      <c r="B313" s="33" t="s">
        <v>54</v>
      </c>
      <c r="C313" s="26" t="s">
        <v>1106</v>
      </c>
      <c r="D313" s="13" t="s">
        <v>1107</v>
      </c>
      <c r="E313" s="20" t="s">
        <v>2157</v>
      </c>
      <c r="F313" s="22">
        <v>500</v>
      </c>
      <c r="G313" s="22">
        <v>0</v>
      </c>
      <c r="H313" s="27" t="s">
        <v>33</v>
      </c>
      <c r="I313" s="40" t="s">
        <v>42</v>
      </c>
      <c r="J313" s="28">
        <v>2013</v>
      </c>
      <c r="K313" s="29" t="s">
        <v>47</v>
      </c>
      <c r="L313" s="30" t="s">
        <v>1108</v>
      </c>
      <c r="M313" s="31">
        <v>35000</v>
      </c>
      <c r="N313" s="32">
        <v>5000</v>
      </c>
      <c r="O313" s="35">
        <v>5000</v>
      </c>
      <c r="P313" s="21">
        <v>0</v>
      </c>
      <c r="Q313" s="21">
        <v>0</v>
      </c>
      <c r="R313" s="23">
        <v>25000</v>
      </c>
    </row>
    <row r="314" spans="1:18" x14ac:dyDescent="0.35">
      <c r="A314" s="24" t="s">
        <v>44</v>
      </c>
      <c r="B314" s="33" t="s">
        <v>45</v>
      </c>
      <c r="C314" s="26" t="s">
        <v>1109</v>
      </c>
      <c r="D314" s="13" t="s">
        <v>1109</v>
      </c>
      <c r="E314" s="20" t="s">
        <v>1110</v>
      </c>
      <c r="F314" s="22">
        <v>500</v>
      </c>
      <c r="G314" s="22">
        <v>0</v>
      </c>
      <c r="H314" s="27" t="s">
        <v>33</v>
      </c>
      <c r="I314" s="40" t="s">
        <v>42</v>
      </c>
      <c r="J314" s="28">
        <v>2013</v>
      </c>
      <c r="K314" s="29" t="s">
        <v>34</v>
      </c>
      <c r="L314" s="30" t="s">
        <v>161</v>
      </c>
      <c r="M314" s="31">
        <v>15000</v>
      </c>
      <c r="N314" s="32">
        <v>10000</v>
      </c>
      <c r="O314" s="21">
        <v>5000</v>
      </c>
      <c r="P314" s="21">
        <v>0</v>
      </c>
      <c r="Q314" s="21">
        <v>0</v>
      </c>
      <c r="R314" s="23">
        <v>0</v>
      </c>
    </row>
    <row r="315" spans="1:18" x14ac:dyDescent="0.35">
      <c r="A315" s="24" t="s">
        <v>91</v>
      </c>
      <c r="B315" s="33" t="s">
        <v>202</v>
      </c>
      <c r="C315" s="26" t="s">
        <v>2087</v>
      </c>
      <c r="D315" s="13" t="s">
        <v>1111</v>
      </c>
      <c r="E315" s="20" t="s">
        <v>1112</v>
      </c>
      <c r="F315" s="22">
        <v>400</v>
      </c>
      <c r="G315" s="22">
        <v>600</v>
      </c>
      <c r="H315" s="27" t="s">
        <v>52</v>
      </c>
      <c r="I315" s="40" t="s">
        <v>42</v>
      </c>
      <c r="J315" s="28">
        <v>2014</v>
      </c>
      <c r="K315" s="34" t="s">
        <v>34</v>
      </c>
      <c r="L315" s="30" t="s">
        <v>1113</v>
      </c>
      <c r="M315" s="43">
        <v>34000</v>
      </c>
      <c r="N315" s="32">
        <v>10000</v>
      </c>
      <c r="O315" s="35">
        <v>24000</v>
      </c>
      <c r="P315" s="21">
        <v>0</v>
      </c>
      <c r="Q315" s="21">
        <v>0</v>
      </c>
      <c r="R315" s="23">
        <v>0</v>
      </c>
    </row>
    <row r="316" spans="1:18" x14ac:dyDescent="0.35">
      <c r="A316" s="24" t="s">
        <v>30</v>
      </c>
      <c r="B316" s="33" t="s">
        <v>195</v>
      </c>
      <c r="C316" s="26" t="s">
        <v>1114</v>
      </c>
      <c r="D316" s="13" t="s">
        <v>1115</v>
      </c>
      <c r="E316" s="20" t="s">
        <v>1116</v>
      </c>
      <c r="F316" s="22">
        <v>197</v>
      </c>
      <c r="G316" s="22">
        <v>0</v>
      </c>
      <c r="H316" s="27" t="s">
        <v>33</v>
      </c>
      <c r="I316" s="40" t="s">
        <v>42</v>
      </c>
      <c r="J316" s="28">
        <v>2017</v>
      </c>
      <c r="K316" s="29" t="s">
        <v>47</v>
      </c>
      <c r="L316" s="30" t="s">
        <v>851</v>
      </c>
      <c r="M316" s="31">
        <v>6000</v>
      </c>
      <c r="N316" s="32">
        <v>0</v>
      </c>
      <c r="O316" s="21">
        <v>0</v>
      </c>
      <c r="P316" s="21">
        <v>0</v>
      </c>
      <c r="Q316" s="21">
        <v>0</v>
      </c>
      <c r="R316" s="23">
        <v>6000</v>
      </c>
    </row>
    <row r="317" spans="1:18" x14ac:dyDescent="0.35">
      <c r="A317" s="24" t="s">
        <v>85</v>
      </c>
      <c r="B317" s="33" t="s">
        <v>86</v>
      </c>
      <c r="C317" s="26" t="s">
        <v>2052</v>
      </c>
      <c r="D317" s="13" t="s">
        <v>2099</v>
      </c>
      <c r="E317" s="20" t="s">
        <v>1117</v>
      </c>
      <c r="F317" s="22">
        <v>5100</v>
      </c>
      <c r="G317" s="22">
        <v>0</v>
      </c>
      <c r="H317" s="27" t="s">
        <v>33</v>
      </c>
      <c r="I317" s="40" t="s">
        <v>42</v>
      </c>
      <c r="J317" s="28">
        <v>2017</v>
      </c>
      <c r="K317" s="34" t="s">
        <v>47</v>
      </c>
      <c r="L317" s="30" t="s">
        <v>1118</v>
      </c>
      <c r="M317" s="31">
        <v>125000</v>
      </c>
      <c r="N317" s="32">
        <v>0</v>
      </c>
      <c r="O317" s="35">
        <v>40000</v>
      </c>
      <c r="P317" s="21">
        <v>40000</v>
      </c>
      <c r="Q317" s="21">
        <v>5000</v>
      </c>
      <c r="R317" s="23">
        <v>40000</v>
      </c>
    </row>
    <row r="318" spans="1:18" x14ac:dyDescent="0.35">
      <c r="A318" s="24" t="s">
        <v>30</v>
      </c>
      <c r="B318" s="33" t="s">
        <v>31</v>
      </c>
      <c r="C318" s="26" t="s">
        <v>2085</v>
      </c>
      <c r="D318" s="13" t="s">
        <v>1119</v>
      </c>
      <c r="E318" s="20" t="s">
        <v>1120</v>
      </c>
      <c r="F318" s="22">
        <v>2000</v>
      </c>
      <c r="G318" s="22">
        <v>500</v>
      </c>
      <c r="H318" s="27" t="s">
        <v>52</v>
      </c>
      <c r="I318" s="40" t="s">
        <v>42</v>
      </c>
      <c r="J318" s="28">
        <v>2016</v>
      </c>
      <c r="K318" s="29" t="s">
        <v>34</v>
      </c>
      <c r="L318" s="30" t="s">
        <v>1121</v>
      </c>
      <c r="M318" s="31">
        <v>40000</v>
      </c>
      <c r="N318" s="32">
        <v>0</v>
      </c>
      <c r="O318" s="21">
        <v>26000</v>
      </c>
      <c r="P318" s="21">
        <v>0</v>
      </c>
      <c r="Q318" s="21">
        <v>0</v>
      </c>
      <c r="R318" s="23">
        <v>14000</v>
      </c>
    </row>
    <row r="319" spans="1:18" x14ac:dyDescent="0.35">
      <c r="A319" s="24" t="s">
        <v>85</v>
      </c>
      <c r="B319" s="33" t="s">
        <v>86</v>
      </c>
      <c r="C319" s="26" t="s">
        <v>1122</v>
      </c>
      <c r="D319" s="13" t="s">
        <v>1123</v>
      </c>
      <c r="E319" s="20" t="s">
        <v>1124</v>
      </c>
      <c r="F319" s="22">
        <v>75</v>
      </c>
      <c r="G319" s="22">
        <v>0</v>
      </c>
      <c r="H319" s="27" t="s">
        <v>33</v>
      </c>
      <c r="I319" s="40" t="s">
        <v>42</v>
      </c>
      <c r="J319" s="28">
        <v>2013</v>
      </c>
      <c r="K319" s="29" t="s">
        <v>34</v>
      </c>
      <c r="L319" s="30" t="s">
        <v>496</v>
      </c>
      <c r="M319" s="31">
        <v>1000</v>
      </c>
      <c r="N319" s="32">
        <v>1000</v>
      </c>
      <c r="O319" s="35">
        <v>0</v>
      </c>
      <c r="P319" s="21">
        <v>0</v>
      </c>
      <c r="Q319" s="21">
        <v>0</v>
      </c>
      <c r="R319" s="23">
        <v>0</v>
      </c>
    </row>
    <row r="320" spans="1:18" x14ac:dyDescent="0.35">
      <c r="A320" s="24" t="s">
        <v>30</v>
      </c>
      <c r="B320" s="48" t="s">
        <v>195</v>
      </c>
      <c r="C320" s="26" t="s">
        <v>1125</v>
      </c>
      <c r="D320" s="13" t="s">
        <v>1126</v>
      </c>
      <c r="E320" s="13" t="s">
        <v>1127</v>
      </c>
      <c r="F320" s="22">
        <v>250</v>
      </c>
      <c r="G320" s="22">
        <v>500</v>
      </c>
      <c r="H320" s="27" t="s">
        <v>52</v>
      </c>
      <c r="I320" s="13" t="s">
        <v>42</v>
      </c>
      <c r="J320" s="28">
        <v>2017</v>
      </c>
      <c r="K320" s="29" t="s">
        <v>47</v>
      </c>
      <c r="L320" s="30" t="s">
        <v>461</v>
      </c>
      <c r="M320" s="31">
        <v>36500</v>
      </c>
      <c r="N320" s="32">
        <v>0</v>
      </c>
      <c r="O320" s="35">
        <v>0</v>
      </c>
      <c r="P320" s="21">
        <v>0</v>
      </c>
      <c r="Q320" s="21">
        <v>0</v>
      </c>
      <c r="R320" s="23">
        <v>36500</v>
      </c>
    </row>
    <row r="321" spans="1:18" x14ac:dyDescent="0.35">
      <c r="A321" s="24" t="s">
        <v>44</v>
      </c>
      <c r="B321" s="33" t="s">
        <v>45</v>
      </c>
      <c r="C321" s="26" t="s">
        <v>1128</v>
      </c>
      <c r="D321" s="13" t="s">
        <v>1128</v>
      </c>
      <c r="E321" s="13" t="s">
        <v>2161</v>
      </c>
      <c r="F321" s="35">
        <v>500</v>
      </c>
      <c r="G321" s="22">
        <v>0</v>
      </c>
      <c r="H321" s="27" t="s">
        <v>33</v>
      </c>
      <c r="I321" s="40" t="s">
        <v>42</v>
      </c>
      <c r="J321" s="28">
        <v>2011</v>
      </c>
      <c r="K321" s="29" t="s">
        <v>34</v>
      </c>
      <c r="L321" s="30" t="s">
        <v>1129</v>
      </c>
      <c r="M321" s="31">
        <v>10000</v>
      </c>
      <c r="N321" s="32">
        <v>8000</v>
      </c>
      <c r="O321" s="35">
        <v>2000</v>
      </c>
      <c r="P321" s="21">
        <v>0</v>
      </c>
      <c r="Q321" s="21">
        <v>0</v>
      </c>
      <c r="R321" s="23">
        <v>0</v>
      </c>
    </row>
    <row r="322" spans="1:18" x14ac:dyDescent="0.35">
      <c r="A322" s="24" t="s">
        <v>85</v>
      </c>
      <c r="B322" s="33" t="s">
        <v>86</v>
      </c>
      <c r="C322" s="26" t="s">
        <v>1130</v>
      </c>
      <c r="D322" s="13" t="s">
        <v>1131</v>
      </c>
      <c r="E322" s="20" t="s">
        <v>1132</v>
      </c>
      <c r="F322" s="22">
        <v>500</v>
      </c>
      <c r="G322" s="22">
        <v>0</v>
      </c>
      <c r="H322" s="27" t="s">
        <v>33</v>
      </c>
      <c r="I322" s="40" t="s">
        <v>42</v>
      </c>
      <c r="J322" s="28">
        <v>2008</v>
      </c>
      <c r="K322" s="34" t="s">
        <v>47</v>
      </c>
      <c r="L322" s="30" t="s">
        <v>461</v>
      </c>
      <c r="M322" s="31">
        <v>10000</v>
      </c>
      <c r="N322" s="32">
        <v>0</v>
      </c>
      <c r="O322" s="21">
        <v>0</v>
      </c>
      <c r="P322" s="21">
        <v>0</v>
      </c>
      <c r="Q322" s="21">
        <v>0</v>
      </c>
      <c r="R322" s="23">
        <v>10000</v>
      </c>
    </row>
    <row r="323" spans="1:18" ht="10.5" customHeight="1" x14ac:dyDescent="0.35">
      <c r="A323" s="24" t="s">
        <v>44</v>
      </c>
      <c r="B323" s="33" t="s">
        <v>106</v>
      </c>
      <c r="C323" s="26" t="s">
        <v>1133</v>
      </c>
      <c r="D323" s="13" t="s">
        <v>1133</v>
      </c>
      <c r="E323" s="20" t="s">
        <v>1134</v>
      </c>
      <c r="F323" s="22">
        <v>500</v>
      </c>
      <c r="G323" s="22">
        <v>0</v>
      </c>
      <c r="H323" s="27" t="s">
        <v>33</v>
      </c>
      <c r="I323" s="40" t="s">
        <v>42</v>
      </c>
      <c r="J323" s="28">
        <v>2016</v>
      </c>
      <c r="K323" s="29" t="s">
        <v>34</v>
      </c>
      <c r="L323" s="30" t="s">
        <v>259</v>
      </c>
      <c r="M323" s="31">
        <v>10000</v>
      </c>
      <c r="N323" s="32">
        <v>2000</v>
      </c>
      <c r="O323" s="35">
        <v>8000</v>
      </c>
      <c r="P323" s="21">
        <v>0</v>
      </c>
      <c r="Q323" s="21">
        <v>0</v>
      </c>
      <c r="R323" s="23">
        <v>0</v>
      </c>
    </row>
    <row r="324" spans="1:18" x14ac:dyDescent="0.35">
      <c r="A324" s="24" t="s">
        <v>94</v>
      </c>
      <c r="B324" s="33" t="s">
        <v>123</v>
      </c>
      <c r="C324" s="26" t="s">
        <v>1135</v>
      </c>
      <c r="D324" s="13" t="s">
        <v>1136</v>
      </c>
      <c r="E324" s="20" t="s">
        <v>2142</v>
      </c>
      <c r="F324" s="22">
        <v>100</v>
      </c>
      <c r="G324" s="22">
        <v>0</v>
      </c>
      <c r="H324" s="27" t="s">
        <v>33</v>
      </c>
      <c r="I324" s="40" t="s">
        <v>42</v>
      </c>
      <c r="J324" s="28">
        <v>2014</v>
      </c>
      <c r="K324" s="34" t="s">
        <v>34</v>
      </c>
      <c r="L324" s="30" t="s">
        <v>58</v>
      </c>
      <c r="M324" s="31">
        <v>3000</v>
      </c>
      <c r="N324" s="32">
        <v>3000</v>
      </c>
      <c r="O324" s="35">
        <v>0</v>
      </c>
      <c r="P324" s="21">
        <v>0</v>
      </c>
      <c r="Q324" s="21">
        <v>0</v>
      </c>
      <c r="R324" s="23">
        <v>0</v>
      </c>
    </row>
    <row r="325" spans="1:18" x14ac:dyDescent="0.35">
      <c r="A325" s="24" t="s">
        <v>63</v>
      </c>
      <c r="B325" s="33" t="s">
        <v>257</v>
      </c>
      <c r="C325" s="26" t="s">
        <v>1137</v>
      </c>
      <c r="D325" s="13" t="s">
        <v>1138</v>
      </c>
      <c r="E325" s="20" t="s">
        <v>1139</v>
      </c>
      <c r="F325" s="22">
        <v>51</v>
      </c>
      <c r="G325" s="22">
        <v>0</v>
      </c>
      <c r="H325" s="27" t="s">
        <v>33</v>
      </c>
      <c r="I325" s="40" t="s">
        <v>42</v>
      </c>
      <c r="J325" s="28">
        <v>2016</v>
      </c>
      <c r="K325" s="34" t="s">
        <v>47</v>
      </c>
      <c r="L325" s="30" t="s">
        <v>1140</v>
      </c>
      <c r="M325" s="31">
        <v>3500</v>
      </c>
      <c r="N325" s="32">
        <v>0</v>
      </c>
      <c r="O325" s="35">
        <v>0</v>
      </c>
      <c r="P325" s="21">
        <v>0</v>
      </c>
      <c r="Q325" s="21">
        <v>0</v>
      </c>
      <c r="R325" s="23">
        <v>3500</v>
      </c>
    </row>
    <row r="326" spans="1:18" x14ac:dyDescent="0.35">
      <c r="A326" s="24" t="s">
        <v>30</v>
      </c>
      <c r="B326" s="33" t="s">
        <v>31</v>
      </c>
      <c r="C326" s="26" t="s">
        <v>1141</v>
      </c>
      <c r="D326" s="13" t="s">
        <v>1142</v>
      </c>
      <c r="E326" s="20" t="s">
        <v>2162</v>
      </c>
      <c r="F326" s="22">
        <v>249</v>
      </c>
      <c r="G326" s="22">
        <v>605</v>
      </c>
      <c r="H326" s="27" t="s">
        <v>52</v>
      </c>
      <c r="I326" s="40" t="s">
        <v>42</v>
      </c>
      <c r="J326" s="28">
        <v>2014</v>
      </c>
      <c r="K326" s="34" t="s">
        <v>34</v>
      </c>
      <c r="L326" s="30" t="s">
        <v>1143</v>
      </c>
      <c r="M326" s="31">
        <v>36000</v>
      </c>
      <c r="N326" s="32">
        <v>6000</v>
      </c>
      <c r="O326" s="35">
        <v>30000</v>
      </c>
      <c r="P326" s="21">
        <v>0</v>
      </c>
      <c r="Q326" s="21">
        <v>0</v>
      </c>
      <c r="R326" s="23">
        <v>0</v>
      </c>
    </row>
    <row r="327" spans="1:18" x14ac:dyDescent="0.35">
      <c r="A327" s="24" t="s">
        <v>94</v>
      </c>
      <c r="B327" s="25" t="s">
        <v>123</v>
      </c>
      <c r="C327" s="26" t="s">
        <v>1144</v>
      </c>
      <c r="D327" s="39" t="s">
        <v>1145</v>
      </c>
      <c r="E327" s="13" t="s">
        <v>1146</v>
      </c>
      <c r="F327" s="22">
        <v>118</v>
      </c>
      <c r="G327" s="22">
        <v>0</v>
      </c>
      <c r="H327" s="27" t="s">
        <v>33</v>
      </c>
      <c r="I327" s="40" t="s">
        <v>42</v>
      </c>
      <c r="J327" s="28">
        <v>2015</v>
      </c>
      <c r="K327" s="34" t="s">
        <v>34</v>
      </c>
      <c r="L327" s="38" t="s">
        <v>1147</v>
      </c>
      <c r="M327" s="31">
        <v>3000</v>
      </c>
      <c r="N327" s="32">
        <v>2000</v>
      </c>
      <c r="O327" s="35">
        <v>1000</v>
      </c>
      <c r="P327" s="21">
        <v>0</v>
      </c>
      <c r="Q327" s="21">
        <v>0</v>
      </c>
      <c r="R327" s="23">
        <v>0</v>
      </c>
    </row>
    <row r="328" spans="1:18" x14ac:dyDescent="0.35">
      <c r="A328" s="24" t="s">
        <v>91</v>
      </c>
      <c r="B328" s="33" t="s">
        <v>295</v>
      </c>
      <c r="C328" s="26" t="s">
        <v>2061</v>
      </c>
      <c r="D328" s="13" t="s">
        <v>1148</v>
      </c>
      <c r="E328" s="13" t="s">
        <v>1149</v>
      </c>
      <c r="F328" s="22">
        <v>500</v>
      </c>
      <c r="G328" s="22">
        <v>1000</v>
      </c>
      <c r="H328" s="27" t="s">
        <v>52</v>
      </c>
      <c r="I328" s="40" t="s">
        <v>42</v>
      </c>
      <c r="J328" s="28">
        <v>2022</v>
      </c>
      <c r="K328" s="34" t="s">
        <v>47</v>
      </c>
      <c r="L328" s="30" t="s">
        <v>1150</v>
      </c>
      <c r="M328" s="31">
        <v>20000</v>
      </c>
      <c r="N328" s="32">
        <v>0</v>
      </c>
      <c r="O328" s="35">
        <v>0</v>
      </c>
      <c r="P328" s="21">
        <v>0</v>
      </c>
      <c r="Q328" s="21">
        <v>0</v>
      </c>
      <c r="R328" s="23">
        <v>20000</v>
      </c>
    </row>
    <row r="329" spans="1:18" x14ac:dyDescent="0.35">
      <c r="A329" s="24" t="s">
        <v>48</v>
      </c>
      <c r="B329" s="33" t="s">
        <v>210</v>
      </c>
      <c r="C329" s="26" t="s">
        <v>1151</v>
      </c>
      <c r="D329" s="13" t="s">
        <v>1152</v>
      </c>
      <c r="E329" s="20" t="s">
        <v>1153</v>
      </c>
      <c r="F329" s="22">
        <v>1200</v>
      </c>
      <c r="G329" s="22">
        <v>0</v>
      </c>
      <c r="H329" s="27" t="s">
        <v>33</v>
      </c>
      <c r="I329" s="40" t="s">
        <v>42</v>
      </c>
      <c r="J329" s="28">
        <v>2015</v>
      </c>
      <c r="K329" s="29" t="s">
        <v>34</v>
      </c>
      <c r="L329" s="30" t="s">
        <v>1154</v>
      </c>
      <c r="M329" s="31">
        <v>26805</v>
      </c>
      <c r="N329" s="32">
        <v>9650</v>
      </c>
      <c r="O329" s="35">
        <v>17155</v>
      </c>
      <c r="P329" s="21">
        <v>0</v>
      </c>
      <c r="Q329" s="21">
        <v>0</v>
      </c>
      <c r="R329" s="23">
        <v>0</v>
      </c>
    </row>
    <row r="330" spans="1:18" x14ac:dyDescent="0.35">
      <c r="A330" s="24" t="s">
        <v>44</v>
      </c>
      <c r="B330" s="33" t="s">
        <v>106</v>
      </c>
      <c r="C330" s="26" t="s">
        <v>1158</v>
      </c>
      <c r="D330" s="13" t="s">
        <v>1159</v>
      </c>
      <c r="E330" s="13" t="s">
        <v>1160</v>
      </c>
      <c r="F330" s="22">
        <v>500</v>
      </c>
      <c r="G330" s="22">
        <v>0</v>
      </c>
      <c r="H330" s="27" t="s">
        <v>33</v>
      </c>
      <c r="I330" s="40" t="s">
        <v>42</v>
      </c>
      <c r="J330" s="28">
        <v>2017</v>
      </c>
      <c r="K330" s="29" t="s">
        <v>34</v>
      </c>
      <c r="L330" s="30" t="s">
        <v>110</v>
      </c>
      <c r="M330" s="31">
        <v>15000</v>
      </c>
      <c r="N330" s="32">
        <v>3500</v>
      </c>
      <c r="O330" s="35">
        <v>11500</v>
      </c>
      <c r="P330" s="21">
        <v>0</v>
      </c>
      <c r="Q330" s="21">
        <v>0</v>
      </c>
      <c r="R330" s="23">
        <v>0</v>
      </c>
    </row>
    <row r="331" spans="1:18" x14ac:dyDescent="0.35">
      <c r="A331" s="24" t="s">
        <v>63</v>
      </c>
      <c r="B331" s="33" t="s">
        <v>274</v>
      </c>
      <c r="C331" s="26" t="s">
        <v>1161</v>
      </c>
      <c r="D331" s="13" t="s">
        <v>1162</v>
      </c>
      <c r="E331" s="20" t="s">
        <v>1163</v>
      </c>
      <c r="F331" s="22">
        <v>500</v>
      </c>
      <c r="G331" s="22">
        <v>0</v>
      </c>
      <c r="H331" s="27" t="s">
        <v>33</v>
      </c>
      <c r="I331" s="40" t="s">
        <v>42</v>
      </c>
      <c r="J331" s="28">
        <v>2012</v>
      </c>
      <c r="K331" s="29" t="s">
        <v>47</v>
      </c>
      <c r="L331" s="30" t="s">
        <v>152</v>
      </c>
      <c r="M331" s="31">
        <v>18250</v>
      </c>
      <c r="N331" s="32">
        <v>0</v>
      </c>
      <c r="O331" s="35">
        <v>0</v>
      </c>
      <c r="P331" s="21">
        <v>18250</v>
      </c>
      <c r="Q331" s="21">
        <v>0</v>
      </c>
      <c r="R331" s="23">
        <v>0</v>
      </c>
    </row>
    <row r="332" spans="1:18" ht="10.5" customHeight="1" x14ac:dyDescent="0.3">
      <c r="A332" s="24" t="s">
        <v>30</v>
      </c>
      <c r="B332" s="25" t="s">
        <v>662</v>
      </c>
      <c r="C332" s="26" t="s">
        <v>1164</v>
      </c>
      <c r="D332" s="13" t="s">
        <v>1165</v>
      </c>
      <c r="E332" s="13" t="s">
        <v>1166</v>
      </c>
      <c r="F332" s="22">
        <v>457</v>
      </c>
      <c r="G332" s="22">
        <v>0</v>
      </c>
      <c r="H332" s="27" t="s">
        <v>33</v>
      </c>
      <c r="I332" s="13" t="s">
        <v>42</v>
      </c>
      <c r="J332" s="49">
        <v>2014</v>
      </c>
      <c r="K332" s="29" t="s">
        <v>34</v>
      </c>
      <c r="L332" s="30" t="s">
        <v>259</v>
      </c>
      <c r="M332" s="31">
        <v>9500</v>
      </c>
      <c r="N332" s="32">
        <v>950</v>
      </c>
      <c r="O332" s="35">
        <v>8550</v>
      </c>
      <c r="P332" s="21">
        <v>0</v>
      </c>
      <c r="Q332" s="21">
        <v>0</v>
      </c>
      <c r="R332" s="23">
        <v>0</v>
      </c>
    </row>
    <row r="333" spans="1:18" x14ac:dyDescent="0.35">
      <c r="A333" s="24" t="s">
        <v>94</v>
      </c>
      <c r="B333" s="33" t="s">
        <v>123</v>
      </c>
      <c r="C333" s="26" t="s">
        <v>2077</v>
      </c>
      <c r="D333" s="13" t="s">
        <v>1167</v>
      </c>
      <c r="E333" s="20" t="s">
        <v>1168</v>
      </c>
      <c r="F333" s="22">
        <v>470</v>
      </c>
      <c r="G333" s="22">
        <v>0</v>
      </c>
      <c r="H333" s="27" t="s">
        <v>33</v>
      </c>
      <c r="I333" s="40" t="s">
        <v>42</v>
      </c>
      <c r="J333" s="28">
        <v>2014</v>
      </c>
      <c r="K333" s="29" t="s">
        <v>34</v>
      </c>
      <c r="L333" s="30" t="s">
        <v>110</v>
      </c>
      <c r="M333" s="31">
        <v>16000</v>
      </c>
      <c r="N333" s="32">
        <v>11000</v>
      </c>
      <c r="O333" s="35">
        <v>5000</v>
      </c>
      <c r="P333" s="21">
        <v>0</v>
      </c>
      <c r="Q333" s="21">
        <v>0</v>
      </c>
      <c r="R333" s="23">
        <v>0</v>
      </c>
    </row>
    <row r="334" spans="1:18" x14ac:dyDescent="0.35">
      <c r="A334" s="24" t="s">
        <v>30</v>
      </c>
      <c r="B334" s="33" t="s">
        <v>31</v>
      </c>
      <c r="C334" s="26" t="s">
        <v>1169</v>
      </c>
      <c r="D334" s="13" t="s">
        <v>1169</v>
      </c>
      <c r="E334" s="20" t="s">
        <v>1170</v>
      </c>
      <c r="F334" s="22">
        <v>475</v>
      </c>
      <c r="G334" s="22">
        <v>0</v>
      </c>
      <c r="H334" s="27" t="s">
        <v>33</v>
      </c>
      <c r="I334" s="40" t="s">
        <v>42</v>
      </c>
      <c r="J334" s="28">
        <v>2016</v>
      </c>
      <c r="K334" s="34" t="s">
        <v>34</v>
      </c>
      <c r="L334" s="30" t="s">
        <v>259</v>
      </c>
      <c r="M334" s="43">
        <v>2000</v>
      </c>
      <c r="N334" s="32">
        <v>1000</v>
      </c>
      <c r="O334" s="35">
        <v>1000</v>
      </c>
      <c r="P334" s="21">
        <v>0</v>
      </c>
      <c r="Q334" s="35">
        <v>0</v>
      </c>
      <c r="R334" s="23">
        <v>0</v>
      </c>
    </row>
    <row r="335" spans="1:18" x14ac:dyDescent="0.35">
      <c r="A335" s="24" t="s">
        <v>44</v>
      </c>
      <c r="B335" s="33" t="s">
        <v>45</v>
      </c>
      <c r="C335" s="26" t="s">
        <v>174</v>
      </c>
      <c r="D335" s="13" t="s">
        <v>1171</v>
      </c>
      <c r="E335" s="20" t="s">
        <v>1172</v>
      </c>
      <c r="F335" s="22">
        <v>500</v>
      </c>
      <c r="G335" s="22">
        <v>0</v>
      </c>
      <c r="H335" s="27" t="s">
        <v>33</v>
      </c>
      <c r="I335" s="40" t="s">
        <v>42</v>
      </c>
      <c r="J335" s="28">
        <v>2016</v>
      </c>
      <c r="K335" s="34" t="s">
        <v>34</v>
      </c>
      <c r="L335" s="30" t="s">
        <v>61</v>
      </c>
      <c r="M335" s="31">
        <v>15100</v>
      </c>
      <c r="N335" s="32">
        <v>5100</v>
      </c>
      <c r="O335" s="35">
        <v>10000</v>
      </c>
      <c r="P335" s="21">
        <v>0</v>
      </c>
      <c r="Q335" s="21">
        <v>0</v>
      </c>
      <c r="R335" s="23">
        <v>0</v>
      </c>
    </row>
    <row r="336" spans="1:18" x14ac:dyDescent="0.35">
      <c r="A336" s="24" t="s">
        <v>30</v>
      </c>
      <c r="B336" s="33" t="s">
        <v>80</v>
      </c>
      <c r="C336" s="42" t="s">
        <v>1173</v>
      </c>
      <c r="D336" s="13" t="s">
        <v>1173</v>
      </c>
      <c r="E336" s="20" t="s">
        <v>1174</v>
      </c>
      <c r="F336" s="22">
        <v>150</v>
      </c>
      <c r="G336" s="22">
        <v>0</v>
      </c>
      <c r="H336" s="27" t="s">
        <v>615</v>
      </c>
      <c r="I336" s="40" t="s">
        <v>42</v>
      </c>
      <c r="J336" s="28">
        <v>2006</v>
      </c>
      <c r="K336" s="29" t="s">
        <v>34</v>
      </c>
      <c r="L336" s="30" t="s">
        <v>58</v>
      </c>
      <c r="M336" s="31">
        <v>480</v>
      </c>
      <c r="N336" s="32">
        <v>480</v>
      </c>
      <c r="O336" s="35">
        <v>0</v>
      </c>
      <c r="P336" s="21">
        <v>0</v>
      </c>
      <c r="Q336" s="21">
        <v>0</v>
      </c>
      <c r="R336" s="23">
        <v>0</v>
      </c>
    </row>
    <row r="337" spans="1:18" x14ac:dyDescent="0.35">
      <c r="A337" s="24" t="s">
        <v>91</v>
      </c>
      <c r="B337" s="33" t="s">
        <v>202</v>
      </c>
      <c r="C337" s="26" t="s">
        <v>1175</v>
      </c>
      <c r="D337" s="13" t="s">
        <v>1176</v>
      </c>
      <c r="E337" s="20" t="s">
        <v>1177</v>
      </c>
      <c r="F337" s="22">
        <v>250</v>
      </c>
      <c r="G337" s="22">
        <v>0</v>
      </c>
      <c r="H337" s="27" t="s">
        <v>33</v>
      </c>
      <c r="I337" s="40" t="s">
        <v>42</v>
      </c>
      <c r="J337" s="28">
        <v>2013</v>
      </c>
      <c r="K337" s="29" t="s">
        <v>47</v>
      </c>
      <c r="L337" s="30" t="s">
        <v>1178</v>
      </c>
      <c r="M337" s="31">
        <v>10000</v>
      </c>
      <c r="N337" s="32">
        <v>0</v>
      </c>
      <c r="O337" s="35">
        <v>0</v>
      </c>
      <c r="P337" s="21">
        <v>0</v>
      </c>
      <c r="Q337" s="21">
        <v>0</v>
      </c>
      <c r="R337" s="23">
        <v>10000</v>
      </c>
    </row>
    <row r="338" spans="1:18" x14ac:dyDescent="0.35">
      <c r="A338" s="24" t="s">
        <v>35</v>
      </c>
      <c r="B338" s="33" t="s">
        <v>36</v>
      </c>
      <c r="C338" s="26" t="s">
        <v>359</v>
      </c>
      <c r="D338" s="13" t="s">
        <v>1179</v>
      </c>
      <c r="E338" s="20" t="s">
        <v>1180</v>
      </c>
      <c r="F338" s="22">
        <v>475</v>
      </c>
      <c r="G338" s="22">
        <v>0</v>
      </c>
      <c r="H338" s="27" t="s">
        <v>33</v>
      </c>
      <c r="I338" s="40" t="s">
        <v>42</v>
      </c>
      <c r="J338" s="28">
        <v>2014</v>
      </c>
      <c r="K338" s="29" t="s">
        <v>34</v>
      </c>
      <c r="L338" s="30" t="s">
        <v>1181</v>
      </c>
      <c r="M338" s="31">
        <v>12755</v>
      </c>
      <c r="N338" s="32">
        <v>3255</v>
      </c>
      <c r="O338" s="35">
        <v>6300</v>
      </c>
      <c r="P338" s="21">
        <v>0</v>
      </c>
      <c r="Q338" s="21">
        <v>3200</v>
      </c>
      <c r="R338" s="23">
        <v>0</v>
      </c>
    </row>
    <row r="339" spans="1:18" x14ac:dyDescent="0.35">
      <c r="A339" s="24" t="s">
        <v>44</v>
      </c>
      <c r="B339" s="33" t="s">
        <v>106</v>
      </c>
      <c r="C339" s="26" t="s">
        <v>1182</v>
      </c>
      <c r="D339" s="13" t="s">
        <v>1183</v>
      </c>
      <c r="E339" s="20" t="s">
        <v>1184</v>
      </c>
      <c r="F339" s="22">
        <v>481.63</v>
      </c>
      <c r="G339" s="22">
        <v>0</v>
      </c>
      <c r="H339" s="27" t="s">
        <v>33</v>
      </c>
      <c r="I339" s="40" t="s">
        <v>42</v>
      </c>
      <c r="J339" s="28">
        <v>2017</v>
      </c>
      <c r="K339" s="29" t="s">
        <v>47</v>
      </c>
      <c r="L339" s="30" t="s">
        <v>930</v>
      </c>
      <c r="M339" s="31">
        <v>10000</v>
      </c>
      <c r="N339" s="32">
        <v>5000</v>
      </c>
      <c r="O339" s="35">
        <v>0</v>
      </c>
      <c r="P339" s="21">
        <v>5000</v>
      </c>
      <c r="Q339" s="21">
        <v>0</v>
      </c>
      <c r="R339" s="23">
        <v>0</v>
      </c>
    </row>
    <row r="340" spans="1:18" x14ac:dyDescent="0.35">
      <c r="A340" s="24" t="s">
        <v>35</v>
      </c>
      <c r="B340" s="33" t="s">
        <v>408</v>
      </c>
      <c r="C340" s="26" t="s">
        <v>1185</v>
      </c>
      <c r="D340" s="13" t="s">
        <v>1186</v>
      </c>
      <c r="E340" s="20" t="s">
        <v>1187</v>
      </c>
      <c r="F340" s="22">
        <v>51</v>
      </c>
      <c r="G340" s="22">
        <v>0</v>
      </c>
      <c r="H340" s="27" t="s">
        <v>33</v>
      </c>
      <c r="I340" s="40" t="s">
        <v>42</v>
      </c>
      <c r="J340" s="28">
        <v>2017</v>
      </c>
      <c r="K340" s="29" t="s">
        <v>34</v>
      </c>
      <c r="L340" s="30" t="s">
        <v>2050</v>
      </c>
      <c r="M340" s="31">
        <v>0</v>
      </c>
      <c r="N340" s="32">
        <v>0</v>
      </c>
      <c r="O340" s="35">
        <v>0</v>
      </c>
      <c r="P340" s="21">
        <v>0</v>
      </c>
      <c r="Q340" s="21">
        <v>0</v>
      </c>
      <c r="R340" s="23">
        <v>0</v>
      </c>
    </row>
    <row r="341" spans="1:18" x14ac:dyDescent="0.35">
      <c r="A341" s="24" t="s">
        <v>94</v>
      </c>
      <c r="B341" s="33" t="s">
        <v>95</v>
      </c>
      <c r="C341" s="26" t="s">
        <v>1188</v>
      </c>
      <c r="D341" s="13" t="s">
        <v>1188</v>
      </c>
      <c r="E341" s="20" t="s">
        <v>1189</v>
      </c>
      <c r="F341" s="22">
        <v>8</v>
      </c>
      <c r="G341" s="22">
        <v>0</v>
      </c>
      <c r="H341" s="27" t="s">
        <v>33</v>
      </c>
      <c r="I341" s="40" t="s">
        <v>42</v>
      </c>
      <c r="J341" s="28">
        <v>2013</v>
      </c>
      <c r="K341" s="29" t="s">
        <v>47</v>
      </c>
      <c r="L341" s="30" t="s">
        <v>461</v>
      </c>
      <c r="M341" s="31">
        <v>146</v>
      </c>
      <c r="N341" s="32">
        <v>0</v>
      </c>
      <c r="O341" s="35">
        <v>0</v>
      </c>
      <c r="P341" s="21">
        <v>0</v>
      </c>
      <c r="Q341" s="21">
        <v>0</v>
      </c>
      <c r="R341" s="23">
        <v>146</v>
      </c>
    </row>
    <row r="342" spans="1:18" x14ac:dyDescent="0.35">
      <c r="A342" s="24" t="s">
        <v>85</v>
      </c>
      <c r="B342" s="33" t="s">
        <v>558</v>
      </c>
      <c r="C342" s="26" t="s">
        <v>1190</v>
      </c>
      <c r="D342" s="13" t="s">
        <v>1191</v>
      </c>
      <c r="E342" s="20" t="s">
        <v>1192</v>
      </c>
      <c r="F342" s="22">
        <v>2800</v>
      </c>
      <c r="G342" s="22">
        <v>1064</v>
      </c>
      <c r="H342" s="27" t="s">
        <v>52</v>
      </c>
      <c r="I342" s="40" t="s">
        <v>42</v>
      </c>
      <c r="J342" s="28">
        <v>2019</v>
      </c>
      <c r="K342" s="29" t="s">
        <v>34</v>
      </c>
      <c r="L342" s="30" t="s">
        <v>1193</v>
      </c>
      <c r="M342" s="31">
        <v>70000</v>
      </c>
      <c r="N342" s="32">
        <v>10400</v>
      </c>
      <c r="O342" s="35">
        <v>29300</v>
      </c>
      <c r="P342" s="35">
        <v>29300</v>
      </c>
      <c r="Q342" s="21">
        <v>1000</v>
      </c>
      <c r="R342" s="23">
        <v>0</v>
      </c>
    </row>
    <row r="343" spans="1:18" x14ac:dyDescent="0.35">
      <c r="A343" s="24" t="s">
        <v>63</v>
      </c>
      <c r="B343" s="33" t="s">
        <v>382</v>
      </c>
      <c r="C343" s="26" t="s">
        <v>1194</v>
      </c>
      <c r="D343" s="13" t="s">
        <v>1194</v>
      </c>
      <c r="E343" s="20" t="s">
        <v>1195</v>
      </c>
      <c r="F343" s="22">
        <v>490</v>
      </c>
      <c r="G343" s="22">
        <v>0</v>
      </c>
      <c r="H343" s="27" t="s">
        <v>33</v>
      </c>
      <c r="I343" s="40" t="s">
        <v>42</v>
      </c>
      <c r="J343" s="28">
        <v>2011</v>
      </c>
      <c r="K343" s="29" t="s">
        <v>47</v>
      </c>
      <c r="L343" s="30" t="s">
        <v>1196</v>
      </c>
      <c r="M343" s="31">
        <v>20000</v>
      </c>
      <c r="N343" s="32">
        <v>400</v>
      </c>
      <c r="O343" s="21">
        <v>100</v>
      </c>
      <c r="P343" s="21">
        <v>19500</v>
      </c>
      <c r="Q343" s="21">
        <v>0</v>
      </c>
      <c r="R343" s="23">
        <v>0</v>
      </c>
    </row>
    <row r="344" spans="1:18" x14ac:dyDescent="0.35">
      <c r="A344" s="24" t="s">
        <v>48</v>
      </c>
      <c r="B344" s="33" t="s">
        <v>49</v>
      </c>
      <c r="C344" s="42" t="s">
        <v>1197</v>
      </c>
      <c r="D344" s="13" t="s">
        <v>1198</v>
      </c>
      <c r="E344" s="13" t="s">
        <v>1199</v>
      </c>
      <c r="F344" s="22">
        <v>50</v>
      </c>
      <c r="G344" s="22">
        <v>0</v>
      </c>
      <c r="H344" s="27" t="s">
        <v>33</v>
      </c>
      <c r="I344" s="40" t="s">
        <v>42</v>
      </c>
      <c r="J344" s="28">
        <v>2015</v>
      </c>
      <c r="K344" s="29" t="s">
        <v>47</v>
      </c>
      <c r="L344" s="30" t="s">
        <v>152</v>
      </c>
      <c r="M344" s="31">
        <v>500</v>
      </c>
      <c r="N344" s="32">
        <v>0</v>
      </c>
      <c r="O344" s="35">
        <v>0</v>
      </c>
      <c r="P344" s="21">
        <v>500</v>
      </c>
      <c r="Q344" s="21">
        <v>0</v>
      </c>
      <c r="R344" s="23">
        <v>0</v>
      </c>
    </row>
    <row r="345" spans="1:18" x14ac:dyDescent="0.35">
      <c r="A345" s="24" t="s">
        <v>35</v>
      </c>
      <c r="B345" s="48" t="s">
        <v>36</v>
      </c>
      <c r="C345" s="26" t="s">
        <v>1155</v>
      </c>
      <c r="D345" s="13" t="s">
        <v>1201</v>
      </c>
      <c r="E345" s="13" t="s">
        <v>2172</v>
      </c>
      <c r="F345" s="22">
        <v>475</v>
      </c>
      <c r="G345" s="22">
        <v>0</v>
      </c>
      <c r="H345" s="27" t="s">
        <v>33</v>
      </c>
      <c r="I345" s="13" t="s">
        <v>42</v>
      </c>
      <c r="J345" s="28">
        <v>2015</v>
      </c>
      <c r="K345" s="29" t="s">
        <v>34</v>
      </c>
      <c r="L345" s="30" t="s">
        <v>1202</v>
      </c>
      <c r="M345" s="31">
        <v>16175</v>
      </c>
      <c r="N345" s="32">
        <v>8500</v>
      </c>
      <c r="O345" s="35">
        <v>7675</v>
      </c>
      <c r="P345" s="21">
        <v>0</v>
      </c>
      <c r="Q345" s="21">
        <v>0</v>
      </c>
      <c r="R345" s="23">
        <v>0</v>
      </c>
    </row>
    <row r="346" spans="1:18" x14ac:dyDescent="0.35">
      <c r="A346" s="24" t="s">
        <v>38</v>
      </c>
      <c r="B346" s="33" t="s">
        <v>39</v>
      </c>
      <c r="C346" s="26" t="s">
        <v>1203</v>
      </c>
      <c r="D346" s="13" t="s">
        <v>1204</v>
      </c>
      <c r="E346" s="20" t="s">
        <v>1205</v>
      </c>
      <c r="F346" s="22">
        <v>465</v>
      </c>
      <c r="G346" s="22">
        <v>0</v>
      </c>
      <c r="H346" s="27" t="s">
        <v>33</v>
      </c>
      <c r="I346" s="40" t="s">
        <v>42</v>
      </c>
      <c r="J346" s="28">
        <v>2014</v>
      </c>
      <c r="K346" s="29" t="s">
        <v>34</v>
      </c>
      <c r="L346" s="30" t="s">
        <v>1206</v>
      </c>
      <c r="M346" s="31">
        <v>10500</v>
      </c>
      <c r="N346" s="32">
        <v>3000</v>
      </c>
      <c r="O346" s="35">
        <v>7500</v>
      </c>
      <c r="P346" s="21">
        <v>0</v>
      </c>
      <c r="Q346" s="21">
        <v>0</v>
      </c>
      <c r="R346" s="23">
        <v>0</v>
      </c>
    </row>
    <row r="347" spans="1:18" x14ac:dyDescent="0.35">
      <c r="A347" s="24" t="s">
        <v>85</v>
      </c>
      <c r="B347" s="33" t="s">
        <v>86</v>
      </c>
      <c r="C347" s="26" t="s">
        <v>2076</v>
      </c>
      <c r="D347" s="13" t="s">
        <v>1207</v>
      </c>
      <c r="E347" s="20" t="s">
        <v>1208</v>
      </c>
      <c r="F347" s="22">
        <v>449</v>
      </c>
      <c r="G347" s="22">
        <v>550</v>
      </c>
      <c r="H347" s="27" t="s">
        <v>52</v>
      </c>
      <c r="I347" s="40" t="s">
        <v>42</v>
      </c>
      <c r="J347" s="28">
        <v>2015</v>
      </c>
      <c r="K347" s="29" t="s">
        <v>47</v>
      </c>
      <c r="L347" s="30" t="s">
        <v>1209</v>
      </c>
      <c r="M347" s="31">
        <v>80000</v>
      </c>
      <c r="N347" s="32">
        <v>0</v>
      </c>
      <c r="O347" s="35">
        <v>0</v>
      </c>
      <c r="P347" s="35">
        <v>30000</v>
      </c>
      <c r="Q347" s="21">
        <v>25000</v>
      </c>
      <c r="R347" s="23">
        <v>25000</v>
      </c>
    </row>
    <row r="348" spans="1:18" x14ac:dyDescent="0.35">
      <c r="A348" s="24" t="s">
        <v>91</v>
      </c>
      <c r="B348" s="33" t="s">
        <v>295</v>
      </c>
      <c r="C348" s="26" t="s">
        <v>1210</v>
      </c>
      <c r="D348" s="13" t="s">
        <v>1211</v>
      </c>
      <c r="E348" s="20" t="s">
        <v>1212</v>
      </c>
      <c r="F348" s="22">
        <v>400</v>
      </c>
      <c r="G348" s="22">
        <v>0</v>
      </c>
      <c r="H348" s="27" t="s">
        <v>33</v>
      </c>
      <c r="I348" s="40" t="s">
        <v>42</v>
      </c>
      <c r="J348" s="28">
        <v>2016</v>
      </c>
      <c r="K348" s="29" t="s">
        <v>34</v>
      </c>
      <c r="L348" s="30" t="s">
        <v>1213</v>
      </c>
      <c r="M348" s="31">
        <v>17035</v>
      </c>
      <c r="N348" s="32">
        <v>10000</v>
      </c>
      <c r="O348" s="35">
        <v>435</v>
      </c>
      <c r="P348" s="21">
        <v>0</v>
      </c>
      <c r="Q348" s="21">
        <v>6600</v>
      </c>
      <c r="R348" s="23">
        <v>0</v>
      </c>
    </row>
    <row r="349" spans="1:18" x14ac:dyDescent="0.35">
      <c r="A349" s="24" t="s">
        <v>30</v>
      </c>
      <c r="B349" s="33" t="s">
        <v>31</v>
      </c>
      <c r="C349" s="42" t="s">
        <v>1214</v>
      </c>
      <c r="D349" s="13" t="s">
        <v>1215</v>
      </c>
      <c r="E349" s="20" t="s">
        <v>1216</v>
      </c>
      <c r="F349" s="22">
        <v>500</v>
      </c>
      <c r="G349" s="22">
        <v>0</v>
      </c>
      <c r="H349" s="27" t="s">
        <v>33</v>
      </c>
      <c r="I349" s="40" t="s">
        <v>42</v>
      </c>
      <c r="J349" s="28" t="s">
        <v>93</v>
      </c>
      <c r="K349" s="29" t="s">
        <v>47</v>
      </c>
      <c r="L349" s="30" t="s">
        <v>1217</v>
      </c>
      <c r="M349" s="31">
        <v>25000</v>
      </c>
      <c r="N349" s="32">
        <v>0</v>
      </c>
      <c r="O349" s="21">
        <v>0</v>
      </c>
      <c r="P349" s="35">
        <v>25000</v>
      </c>
      <c r="Q349" s="21">
        <v>0</v>
      </c>
      <c r="R349" s="23">
        <v>0</v>
      </c>
    </row>
    <row r="350" spans="1:18" ht="10.5" customHeight="1" x14ac:dyDescent="0.35">
      <c r="A350" s="24" t="s">
        <v>94</v>
      </c>
      <c r="B350" s="33" t="s">
        <v>95</v>
      </c>
      <c r="C350" s="26" t="s">
        <v>228</v>
      </c>
      <c r="D350" s="13" t="s">
        <v>1218</v>
      </c>
      <c r="E350" s="20" t="s">
        <v>1219</v>
      </c>
      <c r="F350" s="22">
        <v>33</v>
      </c>
      <c r="G350" s="22">
        <v>0</v>
      </c>
      <c r="H350" s="27" t="s">
        <v>33</v>
      </c>
      <c r="I350" s="40" t="s">
        <v>42</v>
      </c>
      <c r="J350" s="28">
        <v>2018</v>
      </c>
      <c r="K350" s="29" t="s">
        <v>34</v>
      </c>
      <c r="L350" s="30" t="s">
        <v>58</v>
      </c>
      <c r="M350" s="31">
        <v>1000</v>
      </c>
      <c r="N350" s="32">
        <v>1000</v>
      </c>
      <c r="O350" s="35">
        <v>0</v>
      </c>
      <c r="P350" s="21">
        <v>0</v>
      </c>
      <c r="Q350" s="21">
        <v>0</v>
      </c>
      <c r="R350" s="23">
        <v>0</v>
      </c>
    </row>
    <row r="351" spans="1:18" x14ac:dyDescent="0.35">
      <c r="A351" s="24" t="s">
        <v>94</v>
      </c>
      <c r="B351" s="33" t="s">
        <v>123</v>
      </c>
      <c r="C351" s="26" t="s">
        <v>1220</v>
      </c>
      <c r="D351" s="13" t="s">
        <v>1221</v>
      </c>
      <c r="E351" s="20" t="s">
        <v>1222</v>
      </c>
      <c r="F351" s="22">
        <v>490</v>
      </c>
      <c r="G351" s="22">
        <v>0</v>
      </c>
      <c r="H351" s="27" t="s">
        <v>33</v>
      </c>
      <c r="I351" s="40" t="s">
        <v>42</v>
      </c>
      <c r="J351" s="28">
        <v>2012</v>
      </c>
      <c r="K351" s="29" t="s">
        <v>34</v>
      </c>
      <c r="L351" s="30" t="s">
        <v>1223</v>
      </c>
      <c r="M351" s="31">
        <v>25000</v>
      </c>
      <c r="N351" s="32">
        <v>17500</v>
      </c>
      <c r="O351" s="21">
        <v>7500</v>
      </c>
      <c r="P351" s="21">
        <v>0</v>
      </c>
      <c r="Q351" s="21">
        <v>0</v>
      </c>
      <c r="R351" s="23">
        <v>0</v>
      </c>
    </row>
    <row r="352" spans="1:18" x14ac:dyDescent="0.35">
      <c r="A352" s="24" t="s">
        <v>44</v>
      </c>
      <c r="B352" s="33" t="s">
        <v>106</v>
      </c>
      <c r="C352" s="26" t="s">
        <v>1224</v>
      </c>
      <c r="D352" s="13" t="s">
        <v>1225</v>
      </c>
      <c r="E352" s="20" t="s">
        <v>1226</v>
      </c>
      <c r="F352" s="22">
        <v>500</v>
      </c>
      <c r="G352" s="22">
        <v>0</v>
      </c>
      <c r="H352" s="27" t="s">
        <v>33</v>
      </c>
      <c r="I352" s="40" t="s">
        <v>42</v>
      </c>
      <c r="J352" s="28">
        <v>2015</v>
      </c>
      <c r="K352" s="29" t="s">
        <v>47</v>
      </c>
      <c r="L352" s="30" t="s">
        <v>1227</v>
      </c>
      <c r="M352" s="31">
        <v>15000</v>
      </c>
      <c r="N352" s="32">
        <v>0</v>
      </c>
      <c r="O352" s="35">
        <v>0</v>
      </c>
      <c r="P352" s="21">
        <v>0</v>
      </c>
      <c r="Q352" s="35">
        <v>0</v>
      </c>
      <c r="R352" s="23">
        <v>15000</v>
      </c>
    </row>
    <row r="353" spans="1:18" x14ac:dyDescent="0.35">
      <c r="A353" s="24" t="s">
        <v>38</v>
      </c>
      <c r="B353" s="33" t="s">
        <v>212</v>
      </c>
      <c r="C353" s="26" t="s">
        <v>236</v>
      </c>
      <c r="D353" s="13" t="s">
        <v>1228</v>
      </c>
      <c r="E353" s="20" t="s">
        <v>1980</v>
      </c>
      <c r="F353" s="22">
        <v>100</v>
      </c>
      <c r="G353" s="22">
        <v>0</v>
      </c>
      <c r="H353" s="27" t="s">
        <v>33</v>
      </c>
      <c r="I353" s="40" t="s">
        <v>42</v>
      </c>
      <c r="J353" s="28">
        <v>2015</v>
      </c>
      <c r="K353" s="29" t="s">
        <v>34</v>
      </c>
      <c r="L353" s="30" t="s">
        <v>1229</v>
      </c>
      <c r="M353" s="31">
        <v>1000</v>
      </c>
      <c r="N353" s="32">
        <v>500</v>
      </c>
      <c r="O353" s="35">
        <v>500</v>
      </c>
      <c r="P353" s="21">
        <v>0</v>
      </c>
      <c r="Q353" s="21">
        <v>0</v>
      </c>
      <c r="R353" s="23">
        <v>0</v>
      </c>
    </row>
    <row r="354" spans="1:18" x14ac:dyDescent="0.35">
      <c r="A354" s="24" t="s">
        <v>38</v>
      </c>
      <c r="B354" s="33" t="s">
        <v>171</v>
      </c>
      <c r="C354" s="26" t="s">
        <v>1230</v>
      </c>
      <c r="D354" s="13" t="s">
        <v>1231</v>
      </c>
      <c r="E354" s="20" t="s">
        <v>2165</v>
      </c>
      <c r="F354" s="22">
        <v>465</v>
      </c>
      <c r="G354" s="22">
        <v>0</v>
      </c>
      <c r="H354" s="27" t="s">
        <v>33</v>
      </c>
      <c r="I354" s="40" t="s">
        <v>42</v>
      </c>
      <c r="J354" s="28">
        <v>2014</v>
      </c>
      <c r="K354" s="29" t="s">
        <v>34</v>
      </c>
      <c r="L354" s="30" t="s">
        <v>267</v>
      </c>
      <c r="M354" s="31">
        <v>11900</v>
      </c>
      <c r="N354" s="32">
        <v>0</v>
      </c>
      <c r="O354" s="35">
        <v>11900</v>
      </c>
      <c r="P354" s="21">
        <v>0</v>
      </c>
      <c r="Q354" s="21">
        <v>0</v>
      </c>
      <c r="R354" s="23">
        <v>0</v>
      </c>
    </row>
    <row r="355" spans="1:18" x14ac:dyDescent="0.35">
      <c r="A355" s="24" t="s">
        <v>94</v>
      </c>
      <c r="B355" s="33" t="s">
        <v>143</v>
      </c>
      <c r="C355" s="26" t="s">
        <v>1232</v>
      </c>
      <c r="D355" s="13" t="s">
        <v>1233</v>
      </c>
      <c r="E355" s="20" t="s">
        <v>1234</v>
      </c>
      <c r="F355" s="22">
        <v>85</v>
      </c>
      <c r="G355" s="22">
        <v>0</v>
      </c>
      <c r="H355" s="27" t="s">
        <v>33</v>
      </c>
      <c r="I355" s="40" t="s">
        <v>42</v>
      </c>
      <c r="J355" s="28">
        <v>2006</v>
      </c>
      <c r="K355" s="29" t="s">
        <v>34</v>
      </c>
      <c r="L355" s="30" t="s">
        <v>1235</v>
      </c>
      <c r="M355" s="31">
        <v>4000</v>
      </c>
      <c r="N355" s="32">
        <v>4000</v>
      </c>
      <c r="O355" s="21">
        <v>0</v>
      </c>
      <c r="P355" s="35">
        <v>0</v>
      </c>
      <c r="Q355" s="21">
        <v>0</v>
      </c>
      <c r="R355" s="23">
        <v>0</v>
      </c>
    </row>
    <row r="356" spans="1:18" x14ac:dyDescent="0.35">
      <c r="A356" s="24" t="s">
        <v>30</v>
      </c>
      <c r="B356" s="25" t="s">
        <v>80</v>
      </c>
      <c r="C356" s="36" t="s">
        <v>192</v>
      </c>
      <c r="D356" s="13" t="s">
        <v>1237</v>
      </c>
      <c r="E356" s="20" t="s">
        <v>1236</v>
      </c>
      <c r="F356" s="22">
        <v>190</v>
      </c>
      <c r="G356" s="22">
        <v>0</v>
      </c>
      <c r="H356" s="27" t="s">
        <v>33</v>
      </c>
      <c r="I356" s="40" t="s">
        <v>42</v>
      </c>
      <c r="J356" s="28">
        <v>2017</v>
      </c>
      <c r="K356" s="34" t="s">
        <v>34</v>
      </c>
      <c r="L356" s="30" t="s">
        <v>58</v>
      </c>
      <c r="M356" s="43">
        <v>5500</v>
      </c>
      <c r="N356" s="32">
        <v>5500</v>
      </c>
      <c r="O356" s="21">
        <v>0</v>
      </c>
      <c r="P356" s="35">
        <v>0</v>
      </c>
      <c r="Q356" s="21">
        <v>0</v>
      </c>
      <c r="R356" s="23">
        <v>0</v>
      </c>
    </row>
    <row r="357" spans="1:18" x14ac:dyDescent="0.35">
      <c r="A357" s="24" t="s">
        <v>30</v>
      </c>
      <c r="B357" s="33" t="s">
        <v>31</v>
      </c>
      <c r="C357" s="26" t="s">
        <v>1240</v>
      </c>
      <c r="D357" s="13" t="s">
        <v>1241</v>
      </c>
      <c r="E357" s="20" t="s">
        <v>1242</v>
      </c>
      <c r="F357" s="22">
        <v>50</v>
      </c>
      <c r="G357" s="22">
        <v>0</v>
      </c>
      <c r="H357" s="27" t="s">
        <v>33</v>
      </c>
      <c r="I357" s="40" t="s">
        <v>42</v>
      </c>
      <c r="J357" s="28" t="s">
        <v>93</v>
      </c>
      <c r="K357" s="34" t="s">
        <v>34</v>
      </c>
      <c r="L357" s="38" t="s">
        <v>496</v>
      </c>
      <c r="M357" s="31">
        <v>2000</v>
      </c>
      <c r="N357" s="32">
        <v>2000</v>
      </c>
      <c r="O357" s="21">
        <v>0</v>
      </c>
      <c r="P357" s="35">
        <v>0</v>
      </c>
      <c r="Q357" s="21">
        <v>0</v>
      </c>
      <c r="R357" s="23">
        <v>0</v>
      </c>
    </row>
    <row r="358" spans="1:18" x14ac:dyDescent="0.35">
      <c r="A358" s="24" t="s">
        <v>48</v>
      </c>
      <c r="B358" s="33" t="s">
        <v>71</v>
      </c>
      <c r="C358" s="26" t="s">
        <v>1000</v>
      </c>
      <c r="D358" s="13" t="s">
        <v>2107</v>
      </c>
      <c r="E358" s="20" t="s">
        <v>1243</v>
      </c>
      <c r="F358" s="22">
        <v>5000</v>
      </c>
      <c r="G358" s="22">
        <v>950</v>
      </c>
      <c r="H358" s="27" t="s">
        <v>52</v>
      </c>
      <c r="I358" s="40" t="s">
        <v>42</v>
      </c>
      <c r="J358" s="28">
        <v>2011</v>
      </c>
      <c r="K358" s="34" t="s">
        <v>47</v>
      </c>
      <c r="L358" s="30" t="s">
        <v>152</v>
      </c>
      <c r="M358" s="31">
        <v>120000</v>
      </c>
      <c r="N358" s="32">
        <v>0</v>
      </c>
      <c r="O358" s="35">
        <v>0</v>
      </c>
      <c r="P358" s="21">
        <v>120000</v>
      </c>
      <c r="Q358" s="21">
        <v>0</v>
      </c>
      <c r="R358" s="23">
        <v>0</v>
      </c>
    </row>
    <row r="359" spans="1:18" x14ac:dyDescent="0.35">
      <c r="A359" s="24" t="s">
        <v>30</v>
      </c>
      <c r="B359" s="33" t="s">
        <v>31</v>
      </c>
      <c r="C359" s="26" t="s">
        <v>1244</v>
      </c>
      <c r="D359" s="13" t="s">
        <v>1245</v>
      </c>
      <c r="E359" s="20" t="s">
        <v>1246</v>
      </c>
      <c r="F359" s="22">
        <v>1140</v>
      </c>
      <c r="G359" s="22">
        <v>0</v>
      </c>
      <c r="H359" s="27" t="s">
        <v>33</v>
      </c>
      <c r="I359" s="40" t="s">
        <v>42</v>
      </c>
      <c r="J359" s="28">
        <v>2013</v>
      </c>
      <c r="K359" s="29" t="s">
        <v>47</v>
      </c>
      <c r="L359" s="30" t="s">
        <v>1247</v>
      </c>
      <c r="M359" s="31">
        <v>45000</v>
      </c>
      <c r="N359" s="32">
        <v>0</v>
      </c>
      <c r="O359" s="21">
        <v>0</v>
      </c>
      <c r="P359" s="35">
        <v>20000</v>
      </c>
      <c r="Q359" s="21">
        <v>0</v>
      </c>
      <c r="R359" s="47">
        <v>25000</v>
      </c>
    </row>
    <row r="360" spans="1:18" x14ac:dyDescent="0.35">
      <c r="A360" s="24" t="s">
        <v>30</v>
      </c>
      <c r="B360" s="33" t="s">
        <v>80</v>
      </c>
      <c r="C360" s="26" t="s">
        <v>1248</v>
      </c>
      <c r="D360" s="13" t="s">
        <v>1249</v>
      </c>
      <c r="E360" s="20" t="s">
        <v>1250</v>
      </c>
      <c r="F360" s="22">
        <v>500</v>
      </c>
      <c r="G360" s="22">
        <v>768</v>
      </c>
      <c r="H360" s="27" t="s">
        <v>214</v>
      </c>
      <c r="I360" s="40" t="s">
        <v>42</v>
      </c>
      <c r="J360" s="28">
        <v>2018</v>
      </c>
      <c r="K360" s="29" t="s">
        <v>47</v>
      </c>
      <c r="L360" s="30" t="s">
        <v>1251</v>
      </c>
      <c r="M360" s="31">
        <v>98250</v>
      </c>
      <c r="N360" s="32">
        <v>0</v>
      </c>
      <c r="O360" s="21">
        <v>0</v>
      </c>
      <c r="P360" s="21">
        <v>0</v>
      </c>
      <c r="Q360" s="21">
        <v>0</v>
      </c>
      <c r="R360" s="23">
        <v>98250</v>
      </c>
    </row>
    <row r="361" spans="1:18" x14ac:dyDescent="0.35">
      <c r="A361" s="24" t="s">
        <v>100</v>
      </c>
      <c r="B361" s="33" t="s">
        <v>118</v>
      </c>
      <c r="C361" s="26" t="s">
        <v>1252</v>
      </c>
      <c r="D361" s="13" t="s">
        <v>1253</v>
      </c>
      <c r="E361" s="20" t="s">
        <v>1254</v>
      </c>
      <c r="F361" s="22">
        <v>86.5</v>
      </c>
      <c r="G361" s="22">
        <v>0</v>
      </c>
      <c r="H361" s="27" t="s">
        <v>33</v>
      </c>
      <c r="I361" s="40" t="s">
        <v>42</v>
      </c>
      <c r="J361" s="28">
        <v>2010</v>
      </c>
      <c r="K361" s="29" t="s">
        <v>34</v>
      </c>
      <c r="L361" s="30" t="s">
        <v>1255</v>
      </c>
      <c r="M361" s="31">
        <v>13140</v>
      </c>
      <c r="N361" s="32">
        <v>13140</v>
      </c>
      <c r="O361" s="21">
        <v>0</v>
      </c>
      <c r="P361" s="21">
        <v>0</v>
      </c>
      <c r="Q361" s="21">
        <v>0</v>
      </c>
      <c r="R361" s="23">
        <v>0</v>
      </c>
    </row>
    <row r="362" spans="1:18" x14ac:dyDescent="0.35">
      <c r="A362" s="24" t="s">
        <v>466</v>
      </c>
      <c r="B362" s="33" t="s">
        <v>467</v>
      </c>
      <c r="C362" s="26" t="s">
        <v>1256</v>
      </c>
      <c r="D362" s="13" t="s">
        <v>1257</v>
      </c>
      <c r="E362" s="20" t="s">
        <v>1258</v>
      </c>
      <c r="F362" s="22">
        <v>1900</v>
      </c>
      <c r="G362" s="22">
        <v>1100</v>
      </c>
      <c r="H362" s="27" t="s">
        <v>52</v>
      </c>
      <c r="I362" s="40" t="s">
        <v>42</v>
      </c>
      <c r="J362" s="28">
        <v>2017</v>
      </c>
      <c r="K362" s="34" t="s">
        <v>47</v>
      </c>
      <c r="L362" s="30" t="s">
        <v>152</v>
      </c>
      <c r="M362" s="31">
        <v>190000</v>
      </c>
      <c r="N362" s="32">
        <v>0</v>
      </c>
      <c r="O362" s="21">
        <v>0</v>
      </c>
      <c r="P362" s="21">
        <v>190000</v>
      </c>
      <c r="Q362" s="21">
        <v>0</v>
      </c>
      <c r="R362" s="23">
        <v>0</v>
      </c>
    </row>
    <row r="363" spans="1:18" x14ac:dyDescent="0.35">
      <c r="A363" s="24" t="s">
        <v>35</v>
      </c>
      <c r="B363" s="33" t="s">
        <v>36</v>
      </c>
      <c r="C363" s="26" t="s">
        <v>1259</v>
      </c>
      <c r="D363" s="13" t="s">
        <v>1260</v>
      </c>
      <c r="E363" s="20" t="s">
        <v>1261</v>
      </c>
      <c r="F363" s="22" t="s">
        <v>93</v>
      </c>
      <c r="G363" s="22">
        <v>0</v>
      </c>
      <c r="H363" s="27" t="s">
        <v>615</v>
      </c>
      <c r="I363" s="40" t="s">
        <v>42</v>
      </c>
      <c r="J363" s="28">
        <v>2001</v>
      </c>
      <c r="K363" s="29" t="s">
        <v>47</v>
      </c>
      <c r="L363" s="30" t="s">
        <v>1262</v>
      </c>
      <c r="M363" s="31">
        <v>100</v>
      </c>
      <c r="N363" s="32">
        <v>0</v>
      </c>
      <c r="O363" s="21">
        <v>0</v>
      </c>
      <c r="P363" s="21">
        <v>0</v>
      </c>
      <c r="Q363" s="21">
        <v>0</v>
      </c>
      <c r="R363" s="23">
        <v>100</v>
      </c>
    </row>
    <row r="364" spans="1:18" x14ac:dyDescent="0.35">
      <c r="A364" s="24" t="s">
        <v>38</v>
      </c>
      <c r="B364" s="33" t="s">
        <v>285</v>
      </c>
      <c r="C364" s="26" t="s">
        <v>1263</v>
      </c>
      <c r="D364" s="13" t="s">
        <v>1264</v>
      </c>
      <c r="E364" s="20" t="s">
        <v>1265</v>
      </c>
      <c r="F364" s="22">
        <v>1800</v>
      </c>
      <c r="G364" s="22">
        <v>0</v>
      </c>
      <c r="H364" s="27" t="s">
        <v>33</v>
      </c>
      <c r="I364" s="40" t="s">
        <v>42</v>
      </c>
      <c r="J364" s="28">
        <v>2013</v>
      </c>
      <c r="K364" s="29" t="s">
        <v>34</v>
      </c>
      <c r="L364" s="30" t="s">
        <v>504</v>
      </c>
      <c r="M364" s="31">
        <v>26000</v>
      </c>
      <c r="N364" s="32">
        <v>0</v>
      </c>
      <c r="O364" s="21">
        <v>26000</v>
      </c>
      <c r="P364" s="21">
        <v>0</v>
      </c>
      <c r="Q364" s="21">
        <v>0</v>
      </c>
      <c r="R364" s="23">
        <v>0</v>
      </c>
    </row>
    <row r="365" spans="1:18" x14ac:dyDescent="0.35">
      <c r="A365" s="24" t="s">
        <v>94</v>
      </c>
      <c r="B365" s="33" t="s">
        <v>143</v>
      </c>
      <c r="C365" s="26" t="s">
        <v>1266</v>
      </c>
      <c r="D365" s="13" t="s">
        <v>1267</v>
      </c>
      <c r="E365" s="20" t="s">
        <v>1268</v>
      </c>
      <c r="F365" s="22">
        <v>6200</v>
      </c>
      <c r="G365" s="22">
        <v>0</v>
      </c>
      <c r="H365" s="27" t="s">
        <v>33</v>
      </c>
      <c r="I365" s="40" t="s">
        <v>42</v>
      </c>
      <c r="J365" s="28">
        <v>2016</v>
      </c>
      <c r="K365" s="29" t="s">
        <v>47</v>
      </c>
      <c r="L365" s="30" t="s">
        <v>372</v>
      </c>
      <c r="M365" s="31">
        <v>120000</v>
      </c>
      <c r="N365" s="32">
        <v>0</v>
      </c>
      <c r="O365" s="21">
        <v>0</v>
      </c>
      <c r="P365" s="21">
        <v>72000</v>
      </c>
      <c r="Q365" s="21">
        <v>0</v>
      </c>
      <c r="R365" s="23">
        <v>48000</v>
      </c>
    </row>
    <row r="366" spans="1:18" x14ac:dyDescent="0.35">
      <c r="A366" s="24" t="s">
        <v>44</v>
      </c>
      <c r="B366" s="33" t="s">
        <v>54</v>
      </c>
      <c r="C366" s="26" t="s">
        <v>1269</v>
      </c>
      <c r="D366" s="13" t="s">
        <v>1270</v>
      </c>
      <c r="E366" s="20" t="s">
        <v>1271</v>
      </c>
      <c r="F366" s="22">
        <v>500</v>
      </c>
      <c r="G366" s="22">
        <v>0</v>
      </c>
      <c r="H366" s="27" t="s">
        <v>33</v>
      </c>
      <c r="I366" s="40" t="s">
        <v>42</v>
      </c>
      <c r="J366" s="28">
        <v>2017</v>
      </c>
      <c r="K366" s="29" t="s">
        <v>34</v>
      </c>
      <c r="L366" s="30" t="s">
        <v>110</v>
      </c>
      <c r="M366" s="31">
        <v>14600</v>
      </c>
      <c r="N366" s="32">
        <v>3650</v>
      </c>
      <c r="O366" s="35">
        <v>10950</v>
      </c>
      <c r="P366" s="21">
        <v>0</v>
      </c>
      <c r="Q366" s="35">
        <v>0</v>
      </c>
      <c r="R366" s="23">
        <v>0</v>
      </c>
    </row>
    <row r="367" spans="1:18" x14ac:dyDescent="0.35">
      <c r="A367" s="24" t="s">
        <v>85</v>
      </c>
      <c r="B367" s="33" t="s">
        <v>558</v>
      </c>
      <c r="C367" s="26" t="s">
        <v>1272</v>
      </c>
      <c r="D367" s="13" t="s">
        <v>1273</v>
      </c>
      <c r="E367" s="20" t="s">
        <v>2158</v>
      </c>
      <c r="F367" s="22">
        <v>495</v>
      </c>
      <c r="G367" s="22">
        <v>0</v>
      </c>
      <c r="H367" s="27" t="s">
        <v>33</v>
      </c>
      <c r="I367" s="40" t="s">
        <v>42</v>
      </c>
      <c r="J367" s="28">
        <v>2015</v>
      </c>
      <c r="K367" s="34" t="s">
        <v>34</v>
      </c>
      <c r="L367" s="30" t="s">
        <v>1274</v>
      </c>
      <c r="M367" s="31">
        <v>15000</v>
      </c>
      <c r="N367" s="32">
        <v>6000</v>
      </c>
      <c r="O367" s="21">
        <v>9000</v>
      </c>
      <c r="P367" s="21">
        <v>0</v>
      </c>
      <c r="Q367" s="35">
        <v>0</v>
      </c>
      <c r="R367" s="23">
        <v>0</v>
      </c>
    </row>
    <row r="368" spans="1:18" x14ac:dyDescent="0.35">
      <c r="A368" s="24" t="s">
        <v>94</v>
      </c>
      <c r="B368" s="25" t="s">
        <v>123</v>
      </c>
      <c r="C368" s="26" t="s">
        <v>1275</v>
      </c>
      <c r="D368" s="13" t="s">
        <v>1275</v>
      </c>
      <c r="E368" s="13" t="s">
        <v>1276</v>
      </c>
      <c r="F368" s="22">
        <v>50</v>
      </c>
      <c r="G368" s="22">
        <v>0</v>
      </c>
      <c r="H368" s="27" t="s">
        <v>33</v>
      </c>
      <c r="I368" s="40" t="s">
        <v>42</v>
      </c>
      <c r="J368" s="28">
        <v>2013</v>
      </c>
      <c r="K368" s="29" t="s">
        <v>34</v>
      </c>
      <c r="L368" s="30" t="s">
        <v>1277</v>
      </c>
      <c r="M368" s="31">
        <v>7000</v>
      </c>
      <c r="N368" s="32">
        <v>6300</v>
      </c>
      <c r="O368" s="21">
        <v>700</v>
      </c>
      <c r="P368" s="35">
        <v>0</v>
      </c>
      <c r="Q368" s="21">
        <v>0</v>
      </c>
      <c r="R368" s="23">
        <v>0</v>
      </c>
    </row>
    <row r="369" spans="1:18" x14ac:dyDescent="0.35">
      <c r="A369" s="24" t="s">
        <v>63</v>
      </c>
      <c r="B369" s="33" t="s">
        <v>134</v>
      </c>
      <c r="C369" s="26" t="s">
        <v>1278</v>
      </c>
      <c r="D369" s="13" t="s">
        <v>1279</v>
      </c>
      <c r="E369" s="20" t="s">
        <v>1280</v>
      </c>
      <c r="F369" s="22">
        <v>370</v>
      </c>
      <c r="G369" s="22">
        <v>0</v>
      </c>
      <c r="H369" s="27" t="s">
        <v>33</v>
      </c>
      <c r="I369" s="40" t="s">
        <v>42</v>
      </c>
      <c r="J369" s="28">
        <v>2008</v>
      </c>
      <c r="K369" s="34" t="s">
        <v>34</v>
      </c>
      <c r="L369" s="30" t="s">
        <v>1281</v>
      </c>
      <c r="M369" s="31">
        <v>11700</v>
      </c>
      <c r="N369" s="32">
        <v>8200</v>
      </c>
      <c r="O369" s="21">
        <v>3500</v>
      </c>
      <c r="P369" s="35">
        <v>0</v>
      </c>
      <c r="Q369" s="21">
        <v>0</v>
      </c>
      <c r="R369" s="23">
        <v>0</v>
      </c>
    </row>
    <row r="370" spans="1:18" x14ac:dyDescent="0.35">
      <c r="A370" s="24" t="s">
        <v>38</v>
      </c>
      <c r="B370" s="33" t="s">
        <v>212</v>
      </c>
      <c r="C370" s="26" t="s">
        <v>1282</v>
      </c>
      <c r="D370" s="13" t="s">
        <v>1283</v>
      </c>
      <c r="E370" s="20" t="s">
        <v>1284</v>
      </c>
      <c r="F370" s="22">
        <v>500</v>
      </c>
      <c r="G370" s="22">
        <v>800</v>
      </c>
      <c r="H370" s="27" t="s">
        <v>52</v>
      </c>
      <c r="I370" s="40" t="s">
        <v>42</v>
      </c>
      <c r="J370" s="28">
        <v>2022</v>
      </c>
      <c r="K370" s="29" t="s">
        <v>34</v>
      </c>
      <c r="L370" s="30" t="s">
        <v>2180</v>
      </c>
      <c r="M370" s="31">
        <v>36750</v>
      </c>
      <c r="N370" s="32">
        <v>24000</v>
      </c>
      <c r="O370" s="35">
        <v>12750</v>
      </c>
      <c r="P370" s="21">
        <v>0</v>
      </c>
      <c r="Q370" s="21">
        <v>0</v>
      </c>
      <c r="R370" s="23">
        <v>0</v>
      </c>
    </row>
    <row r="371" spans="1:18" x14ac:dyDescent="0.35">
      <c r="A371" s="24" t="s">
        <v>38</v>
      </c>
      <c r="B371" s="33" t="s">
        <v>39</v>
      </c>
      <c r="C371" s="26" t="s">
        <v>1285</v>
      </c>
      <c r="D371" s="13" t="s">
        <v>1286</v>
      </c>
      <c r="E371" s="20" t="s">
        <v>1287</v>
      </c>
      <c r="F371" s="22">
        <v>449</v>
      </c>
      <c r="G371" s="22">
        <v>0</v>
      </c>
      <c r="H371" s="27" t="s">
        <v>33</v>
      </c>
      <c r="I371" s="40" t="s">
        <v>42</v>
      </c>
      <c r="J371" s="28">
        <v>2014</v>
      </c>
      <c r="K371" s="34" t="s">
        <v>47</v>
      </c>
      <c r="L371" s="30" t="s">
        <v>1288</v>
      </c>
      <c r="M371" s="31">
        <v>28900</v>
      </c>
      <c r="N371" s="32">
        <v>4000</v>
      </c>
      <c r="O371" s="21">
        <v>2000</v>
      </c>
      <c r="P371" s="21">
        <v>6900</v>
      </c>
      <c r="Q371" s="21">
        <v>2000</v>
      </c>
      <c r="R371" s="23">
        <v>14000</v>
      </c>
    </row>
    <row r="372" spans="1:18" x14ac:dyDescent="0.35">
      <c r="A372" s="24" t="s">
        <v>100</v>
      </c>
      <c r="B372" s="25" t="s">
        <v>118</v>
      </c>
      <c r="C372" s="36" t="s">
        <v>1252</v>
      </c>
      <c r="D372" s="13" t="s">
        <v>1289</v>
      </c>
      <c r="E372" s="20" t="s">
        <v>1290</v>
      </c>
      <c r="F372" s="22">
        <v>245</v>
      </c>
      <c r="G372" s="22">
        <v>0</v>
      </c>
      <c r="H372" s="27" t="s">
        <v>33</v>
      </c>
      <c r="I372" s="40" t="s">
        <v>42</v>
      </c>
      <c r="J372" s="28">
        <v>2016</v>
      </c>
      <c r="K372" s="29" t="s">
        <v>34</v>
      </c>
      <c r="L372" s="30" t="s">
        <v>1291</v>
      </c>
      <c r="M372" s="31">
        <v>11494</v>
      </c>
      <c r="N372" s="32">
        <v>10844</v>
      </c>
      <c r="O372" s="35">
        <v>275</v>
      </c>
      <c r="P372" s="21">
        <v>0</v>
      </c>
      <c r="Q372" s="21">
        <v>0</v>
      </c>
      <c r="R372" s="23">
        <v>375</v>
      </c>
    </row>
    <row r="373" spans="1:18" x14ac:dyDescent="0.35">
      <c r="A373" s="24" t="s">
        <v>100</v>
      </c>
      <c r="B373" s="33" t="s">
        <v>118</v>
      </c>
      <c r="C373" s="26" t="s">
        <v>1292</v>
      </c>
      <c r="D373" s="13" t="s">
        <v>1293</v>
      </c>
      <c r="E373" s="20" t="s">
        <v>1294</v>
      </c>
      <c r="F373" s="22">
        <v>340</v>
      </c>
      <c r="G373" s="22">
        <v>0</v>
      </c>
      <c r="H373" s="27" t="s">
        <v>33</v>
      </c>
      <c r="I373" s="40" t="s">
        <v>42</v>
      </c>
      <c r="J373" s="28">
        <v>2011</v>
      </c>
      <c r="K373" s="29" t="s">
        <v>47</v>
      </c>
      <c r="L373" s="30" t="s">
        <v>1295</v>
      </c>
      <c r="M373" s="31">
        <v>10000</v>
      </c>
      <c r="N373" s="32">
        <v>0</v>
      </c>
      <c r="O373" s="35">
        <v>0</v>
      </c>
      <c r="P373" s="21">
        <v>0</v>
      </c>
      <c r="Q373" s="35">
        <v>0</v>
      </c>
      <c r="R373" s="23">
        <v>10000</v>
      </c>
    </row>
    <row r="374" spans="1:18" x14ac:dyDescent="0.35">
      <c r="A374" s="24" t="s">
        <v>30</v>
      </c>
      <c r="B374" s="33" t="s">
        <v>662</v>
      </c>
      <c r="C374" s="26" t="s">
        <v>1296</v>
      </c>
      <c r="D374" s="13" t="s">
        <v>1297</v>
      </c>
      <c r="E374" s="20" t="s">
        <v>1298</v>
      </c>
      <c r="F374" s="22">
        <v>76</v>
      </c>
      <c r="G374" s="22">
        <v>0</v>
      </c>
      <c r="H374" s="27" t="s">
        <v>33</v>
      </c>
      <c r="I374" s="40" t="s">
        <v>42</v>
      </c>
      <c r="J374" s="28">
        <v>2016</v>
      </c>
      <c r="K374" s="29" t="s">
        <v>34</v>
      </c>
      <c r="L374" s="30" t="s">
        <v>191</v>
      </c>
      <c r="M374" s="31">
        <v>3500</v>
      </c>
      <c r="N374" s="32">
        <v>3500</v>
      </c>
      <c r="O374" s="21">
        <v>0</v>
      </c>
      <c r="P374" s="21">
        <v>0</v>
      </c>
      <c r="Q374" s="21">
        <v>0</v>
      </c>
      <c r="R374" s="23">
        <v>0</v>
      </c>
    </row>
    <row r="375" spans="1:18" x14ac:dyDescent="0.35">
      <c r="A375" s="24" t="s">
        <v>35</v>
      </c>
      <c r="B375" s="33" t="s">
        <v>260</v>
      </c>
      <c r="C375" s="26" t="s">
        <v>2055</v>
      </c>
      <c r="D375" s="13" t="s">
        <v>1300</v>
      </c>
      <c r="E375" s="20" t="s">
        <v>1301</v>
      </c>
      <c r="F375" s="22">
        <v>250</v>
      </c>
      <c r="G375" s="22">
        <v>559.35</v>
      </c>
      <c r="H375" s="27" t="s">
        <v>52</v>
      </c>
      <c r="I375" s="40" t="s">
        <v>42</v>
      </c>
      <c r="J375" s="28">
        <v>2016</v>
      </c>
      <c r="K375" s="34" t="s">
        <v>34</v>
      </c>
      <c r="L375" s="30" t="s">
        <v>1302</v>
      </c>
      <c r="M375" s="31">
        <v>25000</v>
      </c>
      <c r="N375" s="32">
        <v>0</v>
      </c>
      <c r="O375" s="35">
        <v>25000</v>
      </c>
      <c r="P375" s="21">
        <v>0</v>
      </c>
      <c r="Q375" s="21">
        <v>0</v>
      </c>
      <c r="R375" s="23">
        <v>0</v>
      </c>
    </row>
    <row r="376" spans="1:18" x14ac:dyDescent="0.35">
      <c r="A376" s="24" t="s">
        <v>85</v>
      </c>
      <c r="B376" s="33" t="s">
        <v>86</v>
      </c>
      <c r="C376" s="26" t="s">
        <v>359</v>
      </c>
      <c r="D376" s="13" t="s">
        <v>1303</v>
      </c>
      <c r="E376" s="20" t="s">
        <v>1304</v>
      </c>
      <c r="F376" s="22">
        <v>475</v>
      </c>
      <c r="G376" s="22">
        <v>0</v>
      </c>
      <c r="H376" s="27" t="s">
        <v>33</v>
      </c>
      <c r="I376" s="40" t="s">
        <v>42</v>
      </c>
      <c r="J376" s="28">
        <v>2014</v>
      </c>
      <c r="K376" s="34" t="s">
        <v>34</v>
      </c>
      <c r="L376" s="30" t="s">
        <v>1305</v>
      </c>
      <c r="M376" s="31">
        <v>10675</v>
      </c>
      <c r="N376" s="32">
        <v>5675</v>
      </c>
      <c r="O376" s="35">
        <v>5000</v>
      </c>
      <c r="P376" s="21">
        <v>0</v>
      </c>
      <c r="Q376" s="21">
        <v>0</v>
      </c>
      <c r="R376" s="23">
        <v>0</v>
      </c>
    </row>
    <row r="377" spans="1:18" x14ac:dyDescent="0.35">
      <c r="A377" s="24" t="s">
        <v>35</v>
      </c>
      <c r="B377" s="33" t="s">
        <v>36</v>
      </c>
      <c r="C377" s="26" t="s">
        <v>359</v>
      </c>
      <c r="D377" s="13" t="s">
        <v>1306</v>
      </c>
      <c r="E377" s="20" t="s">
        <v>2168</v>
      </c>
      <c r="F377" s="22">
        <v>475</v>
      </c>
      <c r="G377" s="22">
        <v>0</v>
      </c>
      <c r="H377" s="27" t="s">
        <v>33</v>
      </c>
      <c r="I377" s="40" t="s">
        <v>42</v>
      </c>
      <c r="J377" s="28">
        <v>2014</v>
      </c>
      <c r="K377" s="34" t="s">
        <v>34</v>
      </c>
      <c r="L377" s="30" t="s">
        <v>1307</v>
      </c>
      <c r="M377" s="31">
        <v>9850</v>
      </c>
      <c r="N377" s="32">
        <v>4350</v>
      </c>
      <c r="O377" s="35">
        <v>5500</v>
      </c>
      <c r="P377" s="21">
        <v>0</v>
      </c>
      <c r="Q377" s="21">
        <v>0</v>
      </c>
      <c r="R377" s="23">
        <v>0</v>
      </c>
    </row>
    <row r="378" spans="1:18" ht="10.5" customHeight="1" x14ac:dyDescent="0.35">
      <c r="A378" s="24" t="s">
        <v>35</v>
      </c>
      <c r="B378" s="33" t="s">
        <v>260</v>
      </c>
      <c r="C378" s="26" t="s">
        <v>1308</v>
      </c>
      <c r="D378" s="13" t="s">
        <v>1309</v>
      </c>
      <c r="E378" s="20" t="s">
        <v>1310</v>
      </c>
      <c r="F378" s="22">
        <v>118</v>
      </c>
      <c r="G378" s="22">
        <v>0</v>
      </c>
      <c r="H378" s="27" t="s">
        <v>33</v>
      </c>
      <c r="I378" s="40" t="s">
        <v>42</v>
      </c>
      <c r="J378" s="28">
        <v>2014</v>
      </c>
      <c r="K378" s="29" t="s">
        <v>34</v>
      </c>
      <c r="L378" s="30" t="s">
        <v>444</v>
      </c>
      <c r="M378" s="31">
        <v>2808</v>
      </c>
      <c r="N378" s="32">
        <v>0</v>
      </c>
      <c r="O378" s="35">
        <v>2808</v>
      </c>
      <c r="P378" s="21">
        <v>0</v>
      </c>
      <c r="Q378" s="21">
        <v>0</v>
      </c>
      <c r="R378" s="23">
        <v>0</v>
      </c>
    </row>
    <row r="379" spans="1:18" x14ac:dyDescent="0.35">
      <c r="A379" s="24" t="s">
        <v>35</v>
      </c>
      <c r="B379" s="33" t="s">
        <v>36</v>
      </c>
      <c r="C379" s="26" t="s">
        <v>331</v>
      </c>
      <c r="D379" s="13" t="s">
        <v>1311</v>
      </c>
      <c r="E379" s="20" t="s">
        <v>1312</v>
      </c>
      <c r="F379" s="22">
        <v>1427.3</v>
      </c>
      <c r="G379" s="22">
        <v>0</v>
      </c>
      <c r="H379" s="27" t="s">
        <v>33</v>
      </c>
      <c r="I379" s="40" t="s">
        <v>42</v>
      </c>
      <c r="J379" s="28">
        <v>2013</v>
      </c>
      <c r="K379" s="34" t="s">
        <v>34</v>
      </c>
      <c r="L379" s="30" t="s">
        <v>1313</v>
      </c>
      <c r="M379" s="43">
        <v>36000</v>
      </c>
      <c r="N379" s="32">
        <v>0</v>
      </c>
      <c r="O379" s="35">
        <v>20000</v>
      </c>
      <c r="P379" s="21">
        <v>0</v>
      </c>
      <c r="Q379" s="21">
        <v>16000</v>
      </c>
      <c r="R379" s="23">
        <v>0</v>
      </c>
    </row>
    <row r="380" spans="1:18" ht="10.5" customHeight="1" x14ac:dyDescent="0.35">
      <c r="A380" s="24" t="s">
        <v>35</v>
      </c>
      <c r="B380" s="33" t="s">
        <v>36</v>
      </c>
      <c r="C380" s="26" t="s">
        <v>1314</v>
      </c>
      <c r="D380" s="13" t="s">
        <v>1315</v>
      </c>
      <c r="E380" s="20" t="s">
        <v>2153</v>
      </c>
      <c r="F380" s="22">
        <v>500</v>
      </c>
      <c r="G380" s="22">
        <v>0</v>
      </c>
      <c r="H380" s="27" t="s">
        <v>33</v>
      </c>
      <c r="I380" s="40" t="s">
        <v>42</v>
      </c>
      <c r="J380" s="28">
        <v>2017</v>
      </c>
      <c r="K380" s="29" t="s">
        <v>34</v>
      </c>
      <c r="L380" s="30" t="s">
        <v>43</v>
      </c>
      <c r="M380" s="31">
        <v>13000</v>
      </c>
      <c r="N380" s="32">
        <v>6500</v>
      </c>
      <c r="O380" s="21">
        <v>6500</v>
      </c>
      <c r="P380" s="21">
        <v>0</v>
      </c>
      <c r="Q380" s="21">
        <v>0</v>
      </c>
      <c r="R380" s="23">
        <v>0</v>
      </c>
    </row>
    <row r="381" spans="1:18" x14ac:dyDescent="0.35">
      <c r="A381" s="24" t="s">
        <v>38</v>
      </c>
      <c r="B381" s="33" t="s">
        <v>39</v>
      </c>
      <c r="C381" s="26" t="s">
        <v>1316</v>
      </c>
      <c r="D381" s="13" t="s">
        <v>1317</v>
      </c>
      <c r="E381" s="20" t="s">
        <v>1318</v>
      </c>
      <c r="F381" s="22">
        <v>235</v>
      </c>
      <c r="G381" s="22">
        <v>0</v>
      </c>
      <c r="H381" s="27" t="s">
        <v>33</v>
      </c>
      <c r="I381" s="40" t="s">
        <v>42</v>
      </c>
      <c r="J381" s="28">
        <v>2015</v>
      </c>
      <c r="K381" s="29" t="s">
        <v>34</v>
      </c>
      <c r="L381" s="30" t="s">
        <v>1319</v>
      </c>
      <c r="M381" s="31">
        <v>4830</v>
      </c>
      <c r="N381" s="32">
        <v>1150</v>
      </c>
      <c r="O381" s="21">
        <v>3680</v>
      </c>
      <c r="P381" s="21">
        <v>0</v>
      </c>
      <c r="Q381" s="21">
        <v>0</v>
      </c>
      <c r="R381" s="23">
        <v>0</v>
      </c>
    </row>
    <row r="382" spans="1:18" ht="10.5" customHeight="1" x14ac:dyDescent="0.35">
      <c r="A382" s="24" t="s">
        <v>35</v>
      </c>
      <c r="B382" s="33" t="s">
        <v>425</v>
      </c>
      <c r="C382" s="26" t="s">
        <v>1320</v>
      </c>
      <c r="D382" s="13" t="s">
        <v>1321</v>
      </c>
      <c r="E382" s="20" t="s">
        <v>1322</v>
      </c>
      <c r="F382" s="22">
        <v>44</v>
      </c>
      <c r="G382" s="22" t="s">
        <v>93</v>
      </c>
      <c r="H382" s="27" t="s">
        <v>33</v>
      </c>
      <c r="I382" s="40" t="s">
        <v>42</v>
      </c>
      <c r="J382" s="28">
        <v>2013</v>
      </c>
      <c r="K382" s="34" t="s">
        <v>34</v>
      </c>
      <c r="L382" s="30" t="s">
        <v>213</v>
      </c>
      <c r="M382" s="31">
        <v>1500</v>
      </c>
      <c r="N382" s="32">
        <v>1500</v>
      </c>
      <c r="O382" s="35">
        <v>0</v>
      </c>
      <c r="P382" s="21">
        <v>0</v>
      </c>
      <c r="Q382" s="21">
        <v>0</v>
      </c>
      <c r="R382" s="23">
        <v>0</v>
      </c>
    </row>
    <row r="383" spans="1:18" ht="10.5" customHeight="1" x14ac:dyDescent="0.35">
      <c r="A383" s="24" t="s">
        <v>63</v>
      </c>
      <c r="B383" s="33" t="s">
        <v>257</v>
      </c>
      <c r="C383" s="26" t="s">
        <v>1323</v>
      </c>
      <c r="D383" s="13" t="s">
        <v>1324</v>
      </c>
      <c r="E383" s="13" t="s">
        <v>1325</v>
      </c>
      <c r="F383" s="35">
        <v>105</v>
      </c>
      <c r="G383" s="22">
        <v>0</v>
      </c>
      <c r="H383" s="27" t="s">
        <v>33</v>
      </c>
      <c r="I383" s="40" t="s">
        <v>42</v>
      </c>
      <c r="J383" s="28">
        <v>2014</v>
      </c>
      <c r="K383" s="29" t="s">
        <v>34</v>
      </c>
      <c r="L383" s="30" t="s">
        <v>58</v>
      </c>
      <c r="M383" s="31">
        <v>5000</v>
      </c>
      <c r="N383" s="32">
        <v>5000</v>
      </c>
      <c r="O383" s="35">
        <v>0</v>
      </c>
      <c r="P383" s="21">
        <v>0</v>
      </c>
      <c r="Q383" s="21">
        <v>0</v>
      </c>
      <c r="R383" s="23">
        <v>0</v>
      </c>
    </row>
    <row r="384" spans="1:18" ht="10.5" customHeight="1" x14ac:dyDescent="0.35">
      <c r="A384" s="24" t="s">
        <v>85</v>
      </c>
      <c r="B384" s="33" t="s">
        <v>252</v>
      </c>
      <c r="C384" s="26" t="s">
        <v>1326</v>
      </c>
      <c r="D384" s="13" t="s">
        <v>1326</v>
      </c>
      <c r="E384" s="20" t="s">
        <v>1327</v>
      </c>
      <c r="F384" s="22">
        <v>850</v>
      </c>
      <c r="G384" s="22">
        <v>0</v>
      </c>
      <c r="H384" s="27" t="s">
        <v>33</v>
      </c>
      <c r="I384" s="40" t="s">
        <v>42</v>
      </c>
      <c r="J384" s="28">
        <v>2005</v>
      </c>
      <c r="K384" s="34" t="s">
        <v>47</v>
      </c>
      <c r="L384" s="37" t="s">
        <v>1328</v>
      </c>
      <c r="M384" s="31">
        <v>20000</v>
      </c>
      <c r="N384" s="32">
        <v>0</v>
      </c>
      <c r="O384" s="35">
        <v>0</v>
      </c>
      <c r="P384" s="21">
        <v>20000</v>
      </c>
      <c r="Q384" s="21">
        <v>0</v>
      </c>
      <c r="R384" s="23">
        <v>0</v>
      </c>
    </row>
    <row r="385" spans="1:18" ht="10.5" customHeight="1" x14ac:dyDescent="0.35">
      <c r="A385" s="24" t="s">
        <v>38</v>
      </c>
      <c r="B385" s="33" t="s">
        <v>39</v>
      </c>
      <c r="C385" s="26" t="s">
        <v>312</v>
      </c>
      <c r="D385" s="13" t="s">
        <v>1329</v>
      </c>
      <c r="E385" s="20" t="s">
        <v>1330</v>
      </c>
      <c r="F385" s="22">
        <v>80</v>
      </c>
      <c r="G385" s="22">
        <v>0</v>
      </c>
      <c r="H385" s="27" t="s">
        <v>33</v>
      </c>
      <c r="I385" s="40" t="s">
        <v>42</v>
      </c>
      <c r="J385" s="28">
        <v>2017</v>
      </c>
      <c r="K385" s="29" t="s">
        <v>34</v>
      </c>
      <c r="L385" s="30" t="s">
        <v>58</v>
      </c>
      <c r="M385" s="31">
        <v>13000</v>
      </c>
      <c r="N385" s="32">
        <v>13000</v>
      </c>
      <c r="O385" s="21">
        <v>0</v>
      </c>
      <c r="P385" s="21">
        <v>0</v>
      </c>
      <c r="Q385" s="21">
        <v>0</v>
      </c>
      <c r="R385" s="23">
        <v>0</v>
      </c>
    </row>
    <row r="386" spans="1:18" ht="10.5" customHeight="1" x14ac:dyDescent="0.35">
      <c r="A386" s="24" t="s">
        <v>48</v>
      </c>
      <c r="B386" s="33" t="s">
        <v>71</v>
      </c>
      <c r="C386" s="26" t="s">
        <v>1331</v>
      </c>
      <c r="D386" s="13" t="s">
        <v>1332</v>
      </c>
      <c r="E386" s="20" t="s">
        <v>1333</v>
      </c>
      <c r="F386" s="22">
        <v>3000</v>
      </c>
      <c r="G386" s="22">
        <v>0</v>
      </c>
      <c r="H386" s="27" t="s">
        <v>33</v>
      </c>
      <c r="I386" s="40" t="s">
        <v>42</v>
      </c>
      <c r="J386" s="28">
        <v>2013</v>
      </c>
      <c r="K386" s="29" t="s">
        <v>34</v>
      </c>
      <c r="L386" s="30" t="s">
        <v>1334</v>
      </c>
      <c r="M386" s="31">
        <v>61000</v>
      </c>
      <c r="N386" s="32">
        <v>0</v>
      </c>
      <c r="O386" s="35">
        <v>40000</v>
      </c>
      <c r="P386" s="21">
        <v>0</v>
      </c>
      <c r="Q386" s="21">
        <v>21000</v>
      </c>
      <c r="R386" s="23">
        <v>0</v>
      </c>
    </row>
    <row r="387" spans="1:18" ht="10.5" customHeight="1" x14ac:dyDescent="0.35">
      <c r="A387" s="24" t="s">
        <v>48</v>
      </c>
      <c r="B387" s="33" t="s">
        <v>71</v>
      </c>
      <c r="C387" s="26" t="s">
        <v>1335</v>
      </c>
      <c r="D387" s="13" t="s">
        <v>1336</v>
      </c>
      <c r="E387" s="20" t="s">
        <v>1337</v>
      </c>
      <c r="F387" s="22">
        <v>1063</v>
      </c>
      <c r="G387" s="22">
        <v>0</v>
      </c>
      <c r="H387" s="27" t="s">
        <v>33</v>
      </c>
      <c r="I387" s="40" t="s">
        <v>42</v>
      </c>
      <c r="J387" s="28">
        <v>2005</v>
      </c>
      <c r="K387" s="34" t="s">
        <v>47</v>
      </c>
      <c r="L387" s="30" t="s">
        <v>1338</v>
      </c>
      <c r="M387" s="43">
        <v>95000</v>
      </c>
      <c r="N387" s="32">
        <v>0</v>
      </c>
      <c r="O387" s="21">
        <v>0</v>
      </c>
      <c r="P387" s="35">
        <v>0</v>
      </c>
      <c r="Q387" s="21">
        <v>0</v>
      </c>
      <c r="R387" s="23">
        <v>95000</v>
      </c>
    </row>
    <row r="388" spans="1:18" ht="10.5" customHeight="1" x14ac:dyDescent="0.35">
      <c r="A388" s="24" t="s">
        <v>44</v>
      </c>
      <c r="B388" s="33" t="s">
        <v>54</v>
      </c>
      <c r="C388" s="26" t="s">
        <v>1339</v>
      </c>
      <c r="D388" s="13" t="s">
        <v>1340</v>
      </c>
      <c r="E388" s="13" t="s">
        <v>1341</v>
      </c>
      <c r="F388" s="22">
        <v>500</v>
      </c>
      <c r="G388" s="22">
        <v>0</v>
      </c>
      <c r="H388" s="27" t="s">
        <v>33</v>
      </c>
      <c r="I388" s="40" t="s">
        <v>42</v>
      </c>
      <c r="J388" s="28">
        <v>2018</v>
      </c>
      <c r="K388" s="29" t="s">
        <v>34</v>
      </c>
      <c r="L388" s="30" t="s">
        <v>1342</v>
      </c>
      <c r="M388" s="31">
        <v>8150</v>
      </c>
      <c r="N388" s="32">
        <v>1500</v>
      </c>
      <c r="O388" s="35">
        <v>6650</v>
      </c>
      <c r="P388" s="21">
        <v>0</v>
      </c>
      <c r="Q388" s="21">
        <v>0</v>
      </c>
      <c r="R388" s="23">
        <v>0</v>
      </c>
    </row>
    <row r="389" spans="1:18" ht="10.5" customHeight="1" x14ac:dyDescent="0.35">
      <c r="A389" s="24" t="s">
        <v>30</v>
      </c>
      <c r="B389" s="33" t="s">
        <v>80</v>
      </c>
      <c r="C389" s="26" t="s">
        <v>1343</v>
      </c>
      <c r="D389" s="13" t="s">
        <v>1344</v>
      </c>
      <c r="E389" s="20" t="s">
        <v>1345</v>
      </c>
      <c r="F389" s="22">
        <v>88</v>
      </c>
      <c r="G389" s="22">
        <v>0</v>
      </c>
      <c r="H389" s="27" t="s">
        <v>33</v>
      </c>
      <c r="I389" s="40" t="s">
        <v>42</v>
      </c>
      <c r="J389" s="28">
        <v>2017</v>
      </c>
      <c r="K389" s="34" t="s">
        <v>34</v>
      </c>
      <c r="L389" s="30" t="s">
        <v>191</v>
      </c>
      <c r="M389" s="43">
        <v>4500</v>
      </c>
      <c r="N389" s="32">
        <v>4500</v>
      </c>
      <c r="O389" s="35">
        <v>0</v>
      </c>
      <c r="P389" s="21">
        <v>0</v>
      </c>
      <c r="Q389" s="21">
        <v>0</v>
      </c>
      <c r="R389" s="23">
        <v>0</v>
      </c>
    </row>
    <row r="390" spans="1:18" ht="10.5" customHeight="1" x14ac:dyDescent="0.35">
      <c r="A390" s="24" t="s">
        <v>63</v>
      </c>
      <c r="B390" s="33" t="s">
        <v>134</v>
      </c>
      <c r="C390" s="26" t="s">
        <v>1346</v>
      </c>
      <c r="D390" s="13" t="s">
        <v>1347</v>
      </c>
      <c r="E390" s="20" t="s">
        <v>1348</v>
      </c>
      <c r="F390" s="22">
        <v>484</v>
      </c>
      <c r="G390" s="22">
        <v>0</v>
      </c>
      <c r="H390" s="27" t="s">
        <v>33</v>
      </c>
      <c r="I390" s="40" t="s">
        <v>42</v>
      </c>
      <c r="J390" s="28">
        <v>2010</v>
      </c>
      <c r="K390" s="29" t="s">
        <v>34</v>
      </c>
      <c r="L390" s="30" t="s">
        <v>1349</v>
      </c>
      <c r="M390" s="31">
        <v>20300</v>
      </c>
      <c r="N390" s="32">
        <v>14800</v>
      </c>
      <c r="O390" s="35">
        <v>5500</v>
      </c>
      <c r="P390" s="21">
        <v>0</v>
      </c>
      <c r="Q390" s="21">
        <v>0</v>
      </c>
      <c r="R390" s="23">
        <v>0</v>
      </c>
    </row>
    <row r="391" spans="1:18" ht="10.5" customHeight="1" x14ac:dyDescent="0.35">
      <c r="A391" s="24" t="s">
        <v>85</v>
      </c>
      <c r="B391" s="33" t="s">
        <v>252</v>
      </c>
      <c r="C391" s="26" t="s">
        <v>1350</v>
      </c>
      <c r="D391" s="20" t="s">
        <v>1351</v>
      </c>
      <c r="E391" s="20" t="s">
        <v>1352</v>
      </c>
      <c r="F391" s="22">
        <v>464</v>
      </c>
      <c r="G391" s="22">
        <v>0</v>
      </c>
      <c r="H391" s="27" t="s">
        <v>33</v>
      </c>
      <c r="I391" s="40" t="s">
        <v>42</v>
      </c>
      <c r="J391" s="28">
        <v>2012</v>
      </c>
      <c r="K391" s="34" t="s">
        <v>34</v>
      </c>
      <c r="L391" s="38" t="s">
        <v>1353</v>
      </c>
      <c r="M391" s="31">
        <v>14315</v>
      </c>
      <c r="N391" s="32">
        <v>2865</v>
      </c>
      <c r="O391" s="35">
        <v>11450</v>
      </c>
      <c r="P391" s="35">
        <v>0</v>
      </c>
      <c r="Q391" s="21">
        <v>0</v>
      </c>
      <c r="R391" s="23">
        <v>0</v>
      </c>
    </row>
    <row r="392" spans="1:18" x14ac:dyDescent="0.35">
      <c r="A392" s="24" t="s">
        <v>63</v>
      </c>
      <c r="B392" s="33" t="s">
        <v>382</v>
      </c>
      <c r="C392" s="26" t="s">
        <v>1354</v>
      </c>
      <c r="D392" s="13" t="s">
        <v>1355</v>
      </c>
      <c r="E392" s="20" t="s">
        <v>1356</v>
      </c>
      <c r="F392" s="22">
        <v>450</v>
      </c>
      <c r="G392" s="22">
        <v>0</v>
      </c>
      <c r="H392" s="27" t="s">
        <v>33</v>
      </c>
      <c r="I392" s="40" t="s">
        <v>42</v>
      </c>
      <c r="J392" s="28">
        <v>2014</v>
      </c>
      <c r="K392" s="29" t="s">
        <v>34</v>
      </c>
      <c r="L392" s="30" t="s">
        <v>1357</v>
      </c>
      <c r="M392" s="31">
        <v>12000</v>
      </c>
      <c r="N392" s="32">
        <v>6000</v>
      </c>
      <c r="O392" s="35">
        <v>6000</v>
      </c>
      <c r="P392" s="21">
        <v>0</v>
      </c>
      <c r="Q392" s="35">
        <v>0</v>
      </c>
      <c r="R392" s="23">
        <v>0</v>
      </c>
    </row>
    <row r="393" spans="1:18" ht="10.5" customHeight="1" x14ac:dyDescent="0.35">
      <c r="A393" s="24" t="s">
        <v>48</v>
      </c>
      <c r="B393" s="25" t="s">
        <v>210</v>
      </c>
      <c r="C393" s="36" t="s">
        <v>1358</v>
      </c>
      <c r="D393" s="13" t="s">
        <v>1359</v>
      </c>
      <c r="E393" s="13" t="s">
        <v>1360</v>
      </c>
      <c r="F393" s="22">
        <v>644</v>
      </c>
      <c r="G393" s="22">
        <v>0</v>
      </c>
      <c r="H393" s="27" t="s">
        <v>33</v>
      </c>
      <c r="I393" s="13" t="s">
        <v>42</v>
      </c>
      <c r="J393" s="28">
        <v>2016</v>
      </c>
      <c r="K393" s="34" t="s">
        <v>34</v>
      </c>
      <c r="L393" s="30" t="s">
        <v>1361</v>
      </c>
      <c r="M393" s="31">
        <v>29500</v>
      </c>
      <c r="N393" s="32">
        <v>0</v>
      </c>
      <c r="O393" s="35">
        <v>29500</v>
      </c>
      <c r="P393" s="21">
        <v>0</v>
      </c>
      <c r="Q393" s="21">
        <v>0</v>
      </c>
      <c r="R393" s="23">
        <v>0</v>
      </c>
    </row>
    <row r="394" spans="1:18" ht="10.5" customHeight="1" x14ac:dyDescent="0.35">
      <c r="A394" s="24" t="s">
        <v>48</v>
      </c>
      <c r="B394" s="33" t="s">
        <v>210</v>
      </c>
      <c r="C394" s="26" t="s">
        <v>2095</v>
      </c>
      <c r="D394" s="13" t="s">
        <v>1362</v>
      </c>
      <c r="E394" s="20" t="s">
        <v>2174</v>
      </c>
      <c r="F394" s="22">
        <v>500</v>
      </c>
      <c r="G394" s="22">
        <v>550</v>
      </c>
      <c r="H394" s="27" t="s">
        <v>52</v>
      </c>
      <c r="I394" s="40" t="s">
        <v>42</v>
      </c>
      <c r="J394" s="28">
        <v>2015</v>
      </c>
      <c r="K394" s="34" t="s">
        <v>34</v>
      </c>
      <c r="L394" s="37" t="s">
        <v>1363</v>
      </c>
      <c r="M394" s="31">
        <v>49000</v>
      </c>
      <c r="N394" s="32">
        <v>39000</v>
      </c>
      <c r="O394" s="21">
        <v>10000</v>
      </c>
      <c r="P394" s="35">
        <v>0</v>
      </c>
      <c r="Q394" s="21">
        <v>0</v>
      </c>
      <c r="R394" s="23">
        <v>0</v>
      </c>
    </row>
    <row r="395" spans="1:18" ht="10.5" customHeight="1" x14ac:dyDescent="0.35">
      <c r="A395" s="24" t="s">
        <v>30</v>
      </c>
      <c r="B395" s="48" t="s">
        <v>80</v>
      </c>
      <c r="C395" s="26" t="s">
        <v>1364</v>
      </c>
      <c r="D395" s="13" t="s">
        <v>1365</v>
      </c>
      <c r="E395" s="13" t="s">
        <v>1366</v>
      </c>
      <c r="F395" s="22">
        <v>0</v>
      </c>
      <c r="G395" s="22">
        <v>0</v>
      </c>
      <c r="H395" s="27" t="s">
        <v>615</v>
      </c>
      <c r="I395" s="40" t="s">
        <v>42</v>
      </c>
      <c r="J395" s="28">
        <v>2005</v>
      </c>
      <c r="K395" s="29" t="s">
        <v>34</v>
      </c>
      <c r="L395" s="30" t="s">
        <v>1367</v>
      </c>
      <c r="M395" s="31">
        <v>190</v>
      </c>
      <c r="N395" s="32">
        <v>190</v>
      </c>
      <c r="O395" s="21">
        <v>0</v>
      </c>
      <c r="P395" s="21">
        <v>0</v>
      </c>
      <c r="Q395" s="21">
        <v>0</v>
      </c>
      <c r="R395" s="23">
        <v>0</v>
      </c>
    </row>
    <row r="396" spans="1:18" ht="10.5" customHeight="1" x14ac:dyDescent="0.35">
      <c r="A396" s="24" t="s">
        <v>85</v>
      </c>
      <c r="B396" s="33" t="s">
        <v>558</v>
      </c>
      <c r="C396" s="26" t="s">
        <v>1368</v>
      </c>
      <c r="D396" s="13" t="s">
        <v>1369</v>
      </c>
      <c r="E396" s="20" t="s">
        <v>1370</v>
      </c>
      <c r="F396" s="22">
        <v>33</v>
      </c>
      <c r="G396" s="22">
        <v>0</v>
      </c>
      <c r="H396" s="27" t="s">
        <v>33</v>
      </c>
      <c r="I396" s="40" t="s">
        <v>42</v>
      </c>
      <c r="J396" s="28">
        <v>2018</v>
      </c>
      <c r="K396" s="29" t="s">
        <v>34</v>
      </c>
      <c r="L396" s="30" t="s">
        <v>1371</v>
      </c>
      <c r="M396" s="31">
        <v>5000</v>
      </c>
      <c r="N396" s="32">
        <v>5000</v>
      </c>
      <c r="O396" s="21">
        <v>0</v>
      </c>
      <c r="P396" s="21">
        <v>0</v>
      </c>
      <c r="Q396" s="21">
        <v>0</v>
      </c>
      <c r="R396" s="23">
        <v>0</v>
      </c>
    </row>
    <row r="397" spans="1:18" x14ac:dyDescent="0.35">
      <c r="A397" s="24" t="s">
        <v>85</v>
      </c>
      <c r="B397" s="33" t="s">
        <v>252</v>
      </c>
      <c r="C397" s="26" t="s">
        <v>359</v>
      </c>
      <c r="D397" s="13" t="s">
        <v>1372</v>
      </c>
      <c r="E397" s="20" t="s">
        <v>1373</v>
      </c>
      <c r="F397" s="22">
        <v>499</v>
      </c>
      <c r="G397" s="22">
        <v>450</v>
      </c>
      <c r="H397" s="27" t="s">
        <v>52</v>
      </c>
      <c r="I397" s="40" t="s">
        <v>42</v>
      </c>
      <c r="J397" s="28">
        <v>2017</v>
      </c>
      <c r="K397" s="29" t="s">
        <v>34</v>
      </c>
      <c r="L397" s="30" t="s">
        <v>1374</v>
      </c>
      <c r="M397" s="31">
        <v>47000</v>
      </c>
      <c r="N397" s="32">
        <v>13500</v>
      </c>
      <c r="O397" s="21">
        <v>21500</v>
      </c>
      <c r="P397" s="21">
        <v>0</v>
      </c>
      <c r="Q397" s="21">
        <v>12000</v>
      </c>
      <c r="R397" s="23">
        <v>0</v>
      </c>
    </row>
    <row r="398" spans="1:18" ht="10.5" customHeight="1" x14ac:dyDescent="0.35">
      <c r="A398" s="24" t="s">
        <v>30</v>
      </c>
      <c r="B398" s="33" t="s">
        <v>1375</v>
      </c>
      <c r="C398" s="26" t="s">
        <v>331</v>
      </c>
      <c r="D398" s="13" t="s">
        <v>1376</v>
      </c>
      <c r="E398" s="20" t="s">
        <v>2146</v>
      </c>
      <c r="F398" s="22">
        <v>1500</v>
      </c>
      <c r="G398" s="22" t="s">
        <v>93</v>
      </c>
      <c r="H398" s="27" t="s">
        <v>33</v>
      </c>
      <c r="I398" s="40" t="s">
        <v>42</v>
      </c>
      <c r="J398" s="28">
        <v>2018</v>
      </c>
      <c r="K398" s="34" t="s">
        <v>47</v>
      </c>
      <c r="L398" s="30" t="s">
        <v>152</v>
      </c>
      <c r="M398" s="31">
        <v>35000</v>
      </c>
      <c r="N398" s="32">
        <v>0</v>
      </c>
      <c r="O398" s="21">
        <v>0</v>
      </c>
      <c r="P398" s="35">
        <v>35000</v>
      </c>
      <c r="Q398" s="21">
        <v>0</v>
      </c>
      <c r="R398" s="23">
        <v>0</v>
      </c>
    </row>
    <row r="399" spans="1:18" x14ac:dyDescent="0.35">
      <c r="A399" s="24" t="s">
        <v>44</v>
      </c>
      <c r="B399" s="33" t="s">
        <v>106</v>
      </c>
      <c r="C399" s="26" t="s">
        <v>1377</v>
      </c>
      <c r="D399" s="13" t="s">
        <v>1378</v>
      </c>
      <c r="E399" s="20" t="s">
        <v>1379</v>
      </c>
      <c r="F399" s="22">
        <v>485</v>
      </c>
      <c r="G399" s="22">
        <v>0</v>
      </c>
      <c r="H399" s="27" t="s">
        <v>33</v>
      </c>
      <c r="I399" s="40" t="s">
        <v>42</v>
      </c>
      <c r="J399" s="28">
        <v>2016</v>
      </c>
      <c r="K399" s="29" t="s">
        <v>47</v>
      </c>
      <c r="L399" s="30" t="s">
        <v>152</v>
      </c>
      <c r="M399" s="31">
        <v>10000</v>
      </c>
      <c r="N399" s="32">
        <v>0</v>
      </c>
      <c r="O399" s="35">
        <v>0</v>
      </c>
      <c r="P399" s="21">
        <v>10000</v>
      </c>
      <c r="Q399" s="21">
        <v>0</v>
      </c>
      <c r="R399" s="23">
        <v>0</v>
      </c>
    </row>
    <row r="400" spans="1:18" x14ac:dyDescent="0.35">
      <c r="A400" s="24" t="s">
        <v>38</v>
      </c>
      <c r="B400" s="33" t="s">
        <v>171</v>
      </c>
      <c r="C400" s="26" t="s">
        <v>1380</v>
      </c>
      <c r="D400" s="13" t="s">
        <v>2118</v>
      </c>
      <c r="E400" s="20" t="s">
        <v>2164</v>
      </c>
      <c r="F400" s="22">
        <v>465</v>
      </c>
      <c r="G400" s="22">
        <v>0</v>
      </c>
      <c r="H400" s="27" t="s">
        <v>33</v>
      </c>
      <c r="I400" s="40" t="s">
        <v>42</v>
      </c>
      <c r="J400" s="28">
        <v>2014</v>
      </c>
      <c r="K400" s="34" t="s">
        <v>34</v>
      </c>
      <c r="L400" s="30" t="s">
        <v>1382</v>
      </c>
      <c r="M400" s="31">
        <v>10975</v>
      </c>
      <c r="N400" s="32">
        <v>4000</v>
      </c>
      <c r="O400" s="35">
        <v>6975</v>
      </c>
      <c r="P400" s="21">
        <v>0</v>
      </c>
      <c r="Q400" s="21">
        <v>0</v>
      </c>
      <c r="R400" s="23">
        <v>0</v>
      </c>
    </row>
    <row r="401" spans="1:18" x14ac:dyDescent="0.35">
      <c r="A401" s="24" t="s">
        <v>91</v>
      </c>
      <c r="B401" s="33" t="s">
        <v>128</v>
      </c>
      <c r="C401" s="26" t="s">
        <v>87</v>
      </c>
      <c r="D401" s="13" t="s">
        <v>1383</v>
      </c>
      <c r="E401" s="13" t="s">
        <v>1384</v>
      </c>
      <c r="F401" s="22">
        <v>1110</v>
      </c>
      <c r="G401" s="22">
        <v>0</v>
      </c>
      <c r="H401" s="27" t="s">
        <v>33</v>
      </c>
      <c r="I401" s="40" t="s">
        <v>42</v>
      </c>
      <c r="J401" s="28">
        <v>2016</v>
      </c>
      <c r="K401" s="34" t="s">
        <v>47</v>
      </c>
      <c r="L401" s="30" t="s">
        <v>372</v>
      </c>
      <c r="M401" s="31">
        <v>32000</v>
      </c>
      <c r="N401" s="32">
        <v>0</v>
      </c>
      <c r="O401" s="21">
        <v>0</v>
      </c>
      <c r="P401" s="21">
        <v>19200</v>
      </c>
      <c r="Q401" s="21">
        <v>0</v>
      </c>
      <c r="R401" s="23">
        <v>12800</v>
      </c>
    </row>
    <row r="402" spans="1:18" ht="10.5" customHeight="1" x14ac:dyDescent="0.35">
      <c r="A402" s="24" t="s">
        <v>44</v>
      </c>
      <c r="B402" s="33" t="s">
        <v>66</v>
      </c>
      <c r="C402" s="26" t="s">
        <v>1385</v>
      </c>
      <c r="D402" s="13" t="s">
        <v>1386</v>
      </c>
      <c r="E402" s="20" t="s">
        <v>1387</v>
      </c>
      <c r="F402" s="22" t="s">
        <v>93</v>
      </c>
      <c r="G402" s="22">
        <v>0</v>
      </c>
      <c r="H402" s="27" t="s">
        <v>2176</v>
      </c>
      <c r="I402" s="40" t="s">
        <v>42</v>
      </c>
      <c r="J402" s="28">
        <v>2017</v>
      </c>
      <c r="K402" s="29" t="s">
        <v>34</v>
      </c>
      <c r="L402" s="30" t="s">
        <v>324</v>
      </c>
      <c r="M402" s="31">
        <v>0</v>
      </c>
      <c r="N402" s="32">
        <v>0</v>
      </c>
      <c r="O402" s="35">
        <v>0</v>
      </c>
      <c r="P402" s="21">
        <v>0</v>
      </c>
      <c r="Q402" s="21">
        <v>0</v>
      </c>
      <c r="R402" s="23">
        <v>0</v>
      </c>
    </row>
    <row r="403" spans="1:18" x14ac:dyDescent="0.35">
      <c r="A403" s="24" t="s">
        <v>94</v>
      </c>
      <c r="B403" s="33" t="s">
        <v>371</v>
      </c>
      <c r="C403" s="26" t="s">
        <v>1391</v>
      </c>
      <c r="D403" s="13" t="s">
        <v>1392</v>
      </c>
      <c r="E403" s="20" t="s">
        <v>1393</v>
      </c>
      <c r="F403" s="22">
        <v>149.55000000000001</v>
      </c>
      <c r="G403" s="22">
        <v>0</v>
      </c>
      <c r="H403" s="27" t="s">
        <v>33</v>
      </c>
      <c r="I403" s="40" t="s">
        <v>42</v>
      </c>
      <c r="J403" s="28">
        <v>2010</v>
      </c>
      <c r="K403" s="29" t="s">
        <v>47</v>
      </c>
      <c r="L403" s="30" t="s">
        <v>152</v>
      </c>
      <c r="M403" s="31">
        <v>6000</v>
      </c>
      <c r="N403" s="32">
        <v>0</v>
      </c>
      <c r="O403" s="35">
        <v>0</v>
      </c>
      <c r="P403" s="21">
        <v>6000</v>
      </c>
      <c r="Q403" s="21">
        <v>0</v>
      </c>
      <c r="R403" s="23">
        <v>0</v>
      </c>
    </row>
    <row r="404" spans="1:18" x14ac:dyDescent="0.35">
      <c r="A404" s="24" t="s">
        <v>63</v>
      </c>
      <c r="B404" s="33" t="s">
        <v>382</v>
      </c>
      <c r="C404" s="42" t="s">
        <v>1394</v>
      </c>
      <c r="D404" s="13" t="s">
        <v>1395</v>
      </c>
      <c r="E404" s="20" t="s">
        <v>1396</v>
      </c>
      <c r="F404" s="22">
        <v>80</v>
      </c>
      <c r="G404" s="22">
        <v>0</v>
      </c>
      <c r="H404" s="27" t="s">
        <v>33</v>
      </c>
      <c r="I404" s="40" t="s">
        <v>42</v>
      </c>
      <c r="J404" s="28">
        <v>2012</v>
      </c>
      <c r="K404" s="29" t="s">
        <v>34</v>
      </c>
      <c r="L404" s="30" t="s">
        <v>1397</v>
      </c>
      <c r="M404" s="31">
        <v>6000</v>
      </c>
      <c r="N404" s="32">
        <v>4800</v>
      </c>
      <c r="O404" s="35">
        <v>1200</v>
      </c>
      <c r="P404" s="21">
        <v>0</v>
      </c>
      <c r="Q404" s="35">
        <v>0</v>
      </c>
      <c r="R404" s="23">
        <v>0</v>
      </c>
    </row>
    <row r="405" spans="1:18" ht="10.5" customHeight="1" x14ac:dyDescent="0.35">
      <c r="A405" s="24" t="s">
        <v>38</v>
      </c>
      <c r="B405" s="33" t="s">
        <v>171</v>
      </c>
      <c r="C405" s="26" t="s">
        <v>1252</v>
      </c>
      <c r="D405" s="13" t="s">
        <v>1398</v>
      </c>
      <c r="E405" s="20" t="s">
        <v>1399</v>
      </c>
      <c r="F405" s="22">
        <v>700</v>
      </c>
      <c r="G405" s="22">
        <v>0</v>
      </c>
      <c r="H405" s="27" t="s">
        <v>33</v>
      </c>
      <c r="I405" s="40" t="s">
        <v>42</v>
      </c>
      <c r="J405" s="28">
        <v>2011</v>
      </c>
      <c r="K405" s="29" t="s">
        <v>34</v>
      </c>
      <c r="L405" s="30" t="s">
        <v>1400</v>
      </c>
      <c r="M405" s="31">
        <v>12500</v>
      </c>
      <c r="N405" s="32">
        <v>5000</v>
      </c>
      <c r="O405" s="35">
        <v>7500</v>
      </c>
      <c r="P405" s="21">
        <v>0</v>
      </c>
      <c r="Q405" s="21">
        <v>0</v>
      </c>
      <c r="R405" s="23">
        <v>0</v>
      </c>
    </row>
    <row r="406" spans="1:18" x14ac:dyDescent="0.35">
      <c r="A406" s="24" t="s">
        <v>48</v>
      </c>
      <c r="B406" s="33" t="s">
        <v>71</v>
      </c>
      <c r="C406" s="26" t="s">
        <v>769</v>
      </c>
      <c r="D406" s="13" t="s">
        <v>1401</v>
      </c>
      <c r="E406" s="20" t="s">
        <v>1402</v>
      </c>
      <c r="F406" s="22">
        <v>1500</v>
      </c>
      <c r="G406" s="22">
        <v>800</v>
      </c>
      <c r="H406" s="27" t="s">
        <v>52</v>
      </c>
      <c r="I406" s="40" t="s">
        <v>42</v>
      </c>
      <c r="J406" s="28">
        <v>2018</v>
      </c>
      <c r="K406" s="34" t="s">
        <v>34</v>
      </c>
      <c r="L406" s="30" t="s">
        <v>1403</v>
      </c>
      <c r="M406" s="31">
        <v>90000</v>
      </c>
      <c r="N406" s="32">
        <v>40000</v>
      </c>
      <c r="O406" s="21">
        <v>10000</v>
      </c>
      <c r="P406" s="21">
        <v>0</v>
      </c>
      <c r="Q406" s="35">
        <v>20000</v>
      </c>
      <c r="R406" s="23">
        <v>20000</v>
      </c>
    </row>
    <row r="407" spans="1:18" x14ac:dyDescent="0.35">
      <c r="A407" s="24" t="s">
        <v>85</v>
      </c>
      <c r="B407" s="33" t="s">
        <v>86</v>
      </c>
      <c r="C407" s="26" t="s">
        <v>359</v>
      </c>
      <c r="D407" s="13" t="s">
        <v>1404</v>
      </c>
      <c r="E407" s="13" t="s">
        <v>1405</v>
      </c>
      <c r="F407" s="22">
        <v>475</v>
      </c>
      <c r="G407" s="22">
        <v>0</v>
      </c>
      <c r="H407" s="27" t="s">
        <v>33</v>
      </c>
      <c r="I407" s="40" t="s">
        <v>42</v>
      </c>
      <c r="J407" s="28">
        <v>2016</v>
      </c>
      <c r="K407" s="34" t="s">
        <v>34</v>
      </c>
      <c r="L407" s="30" t="s">
        <v>1406</v>
      </c>
      <c r="M407" s="31">
        <v>10572</v>
      </c>
      <c r="N407" s="32">
        <v>5000</v>
      </c>
      <c r="O407" s="35">
        <v>5572</v>
      </c>
      <c r="P407" s="21">
        <v>0</v>
      </c>
      <c r="Q407" s="21">
        <v>0</v>
      </c>
      <c r="R407" s="23">
        <v>0</v>
      </c>
    </row>
    <row r="408" spans="1:18" x14ac:dyDescent="0.35">
      <c r="A408" s="24" t="s">
        <v>44</v>
      </c>
      <c r="B408" s="33" t="s">
        <v>54</v>
      </c>
      <c r="C408" s="26" t="s">
        <v>1407</v>
      </c>
      <c r="D408" s="13" t="s">
        <v>1408</v>
      </c>
      <c r="E408" s="20" t="s">
        <v>1409</v>
      </c>
      <c r="F408" s="22">
        <v>360</v>
      </c>
      <c r="G408" s="22">
        <v>0</v>
      </c>
      <c r="H408" s="27" t="s">
        <v>33</v>
      </c>
      <c r="I408" s="40" t="s">
        <v>42</v>
      </c>
      <c r="J408" s="28">
        <v>2016</v>
      </c>
      <c r="K408" s="29" t="s">
        <v>34</v>
      </c>
      <c r="L408" s="30" t="s">
        <v>179</v>
      </c>
      <c r="M408" s="31">
        <v>12775</v>
      </c>
      <c r="N408" s="32">
        <v>5475</v>
      </c>
      <c r="O408" s="21">
        <v>7300</v>
      </c>
      <c r="P408" s="21">
        <v>0</v>
      </c>
      <c r="Q408" s="21">
        <v>0</v>
      </c>
      <c r="R408" s="23">
        <v>0</v>
      </c>
    </row>
    <row r="409" spans="1:18" x14ac:dyDescent="0.35">
      <c r="A409" s="24" t="s">
        <v>373</v>
      </c>
      <c r="B409" s="33" t="s">
        <v>1390</v>
      </c>
      <c r="C409" s="26" t="s">
        <v>1410</v>
      </c>
      <c r="D409" s="13" t="s">
        <v>1411</v>
      </c>
      <c r="E409" s="20" t="s">
        <v>1412</v>
      </c>
      <c r="F409" s="22">
        <v>200</v>
      </c>
      <c r="G409" s="22">
        <v>0</v>
      </c>
      <c r="H409" s="27" t="s">
        <v>33</v>
      </c>
      <c r="I409" s="40" t="s">
        <v>42</v>
      </c>
      <c r="J409" s="28">
        <v>2013</v>
      </c>
      <c r="K409" s="29" t="s">
        <v>47</v>
      </c>
      <c r="L409" s="30" t="s">
        <v>1413</v>
      </c>
      <c r="M409" s="31">
        <v>1200</v>
      </c>
      <c r="N409" s="32">
        <v>0</v>
      </c>
      <c r="O409" s="21">
        <v>0</v>
      </c>
      <c r="P409" s="21">
        <v>0</v>
      </c>
      <c r="Q409" s="21">
        <v>0</v>
      </c>
      <c r="R409" s="23">
        <v>1200</v>
      </c>
    </row>
    <row r="410" spans="1:18" x14ac:dyDescent="0.35">
      <c r="A410" s="24" t="s">
        <v>35</v>
      </c>
      <c r="B410" s="33" t="s">
        <v>263</v>
      </c>
      <c r="C410" s="26" t="s">
        <v>1414</v>
      </c>
      <c r="D410" s="13" t="s">
        <v>1415</v>
      </c>
      <c r="E410" s="20" t="s">
        <v>1416</v>
      </c>
      <c r="F410" s="22">
        <v>450</v>
      </c>
      <c r="G410" s="22">
        <v>0</v>
      </c>
      <c r="H410" s="27" t="s">
        <v>33</v>
      </c>
      <c r="I410" s="40" t="s">
        <v>42</v>
      </c>
      <c r="J410" s="28">
        <v>2014</v>
      </c>
      <c r="K410" s="29" t="s">
        <v>34</v>
      </c>
      <c r="L410" s="30" t="s">
        <v>1417</v>
      </c>
      <c r="M410" s="31">
        <v>14000</v>
      </c>
      <c r="N410" s="32">
        <v>10000</v>
      </c>
      <c r="O410" s="21">
        <v>4000</v>
      </c>
      <c r="P410" s="21">
        <v>0</v>
      </c>
      <c r="Q410" s="21">
        <v>0</v>
      </c>
      <c r="R410" s="23">
        <v>0</v>
      </c>
    </row>
    <row r="411" spans="1:18" x14ac:dyDescent="0.35">
      <c r="A411" s="24" t="s">
        <v>38</v>
      </c>
      <c r="B411" s="33" t="s">
        <v>212</v>
      </c>
      <c r="C411" s="26" t="s">
        <v>312</v>
      </c>
      <c r="D411" s="13" t="s">
        <v>1418</v>
      </c>
      <c r="E411" s="20" t="s">
        <v>1419</v>
      </c>
      <c r="F411" s="22">
        <v>52</v>
      </c>
      <c r="G411" s="22">
        <v>0</v>
      </c>
      <c r="H411" s="27" t="s">
        <v>33</v>
      </c>
      <c r="I411" s="40" t="s">
        <v>42</v>
      </c>
      <c r="J411" s="28">
        <v>2016</v>
      </c>
      <c r="K411" s="34" t="s">
        <v>34</v>
      </c>
      <c r="L411" s="38" t="s">
        <v>315</v>
      </c>
      <c r="M411" s="31">
        <v>8000</v>
      </c>
      <c r="N411" s="32">
        <v>8000</v>
      </c>
      <c r="O411" s="35">
        <v>0</v>
      </c>
      <c r="P411" s="21">
        <v>0</v>
      </c>
      <c r="Q411" s="21">
        <v>0</v>
      </c>
      <c r="R411" s="23">
        <v>0</v>
      </c>
    </row>
    <row r="412" spans="1:18" x14ac:dyDescent="0.35">
      <c r="A412" s="24" t="s">
        <v>38</v>
      </c>
      <c r="B412" s="25" t="s">
        <v>39</v>
      </c>
      <c r="C412" s="36" t="s">
        <v>1420</v>
      </c>
      <c r="D412" s="13" t="s">
        <v>1421</v>
      </c>
      <c r="E412" s="20" t="s">
        <v>1422</v>
      </c>
      <c r="F412" s="22">
        <v>226</v>
      </c>
      <c r="G412" s="22">
        <v>0</v>
      </c>
      <c r="H412" s="27" t="s">
        <v>33</v>
      </c>
      <c r="I412" s="40" t="s">
        <v>42</v>
      </c>
      <c r="J412" s="28">
        <v>2014</v>
      </c>
      <c r="K412" s="34" t="s">
        <v>34</v>
      </c>
      <c r="L412" s="30" t="s">
        <v>1423</v>
      </c>
      <c r="M412" s="43">
        <v>11800</v>
      </c>
      <c r="N412" s="32">
        <v>10000</v>
      </c>
      <c r="O412" s="21">
        <v>1800</v>
      </c>
      <c r="P412" s="21">
        <v>0</v>
      </c>
      <c r="Q412" s="21">
        <v>0</v>
      </c>
      <c r="R412" s="23">
        <v>0</v>
      </c>
    </row>
    <row r="413" spans="1:18" x14ac:dyDescent="0.35">
      <c r="A413" s="24" t="s">
        <v>38</v>
      </c>
      <c r="B413" s="33" t="s">
        <v>39</v>
      </c>
      <c r="C413" s="26" t="s">
        <v>1424</v>
      </c>
      <c r="D413" s="13" t="s">
        <v>1425</v>
      </c>
      <c r="E413" s="20" t="s">
        <v>1426</v>
      </c>
      <c r="F413" s="22">
        <v>194</v>
      </c>
      <c r="G413" s="22">
        <v>0</v>
      </c>
      <c r="H413" s="27" t="s">
        <v>33</v>
      </c>
      <c r="I413" s="40" t="s">
        <v>42</v>
      </c>
      <c r="J413" s="28">
        <v>2016</v>
      </c>
      <c r="K413" s="29" t="s">
        <v>34</v>
      </c>
      <c r="L413" s="30" t="s">
        <v>1427</v>
      </c>
      <c r="M413" s="31">
        <v>8000</v>
      </c>
      <c r="N413" s="32">
        <v>5000</v>
      </c>
      <c r="O413" s="35">
        <v>0</v>
      </c>
      <c r="P413" s="21">
        <v>0</v>
      </c>
      <c r="Q413" s="21">
        <v>3000</v>
      </c>
      <c r="R413" s="23">
        <v>0</v>
      </c>
    </row>
    <row r="414" spans="1:18" x14ac:dyDescent="0.35">
      <c r="A414" s="24" t="s">
        <v>100</v>
      </c>
      <c r="B414" s="33" t="s">
        <v>101</v>
      </c>
      <c r="C414" s="26" t="s">
        <v>316</v>
      </c>
      <c r="D414" s="13" t="s">
        <v>1428</v>
      </c>
      <c r="E414" s="20" t="s">
        <v>1429</v>
      </c>
      <c r="F414" s="22">
        <v>3600</v>
      </c>
      <c r="G414" s="22">
        <v>0</v>
      </c>
      <c r="H414" s="27" t="s">
        <v>33</v>
      </c>
      <c r="I414" s="40" t="s">
        <v>42</v>
      </c>
      <c r="J414" s="28">
        <v>2014</v>
      </c>
      <c r="K414" s="29" t="s">
        <v>47</v>
      </c>
      <c r="L414" s="30" t="s">
        <v>152</v>
      </c>
      <c r="M414" s="31">
        <v>90000</v>
      </c>
      <c r="N414" s="32">
        <v>0</v>
      </c>
      <c r="O414" s="35">
        <v>0</v>
      </c>
      <c r="P414" s="21">
        <v>90000</v>
      </c>
      <c r="Q414" s="21">
        <v>0</v>
      </c>
      <c r="R414" s="23">
        <v>0</v>
      </c>
    </row>
    <row r="415" spans="1:18" x14ac:dyDescent="0.35">
      <c r="A415" s="24" t="s">
        <v>85</v>
      </c>
      <c r="B415" s="33" t="s">
        <v>86</v>
      </c>
      <c r="C415" s="26" t="s">
        <v>1430</v>
      </c>
      <c r="D415" s="13" t="s">
        <v>1431</v>
      </c>
      <c r="E415" s="13" t="s">
        <v>1432</v>
      </c>
      <c r="F415" s="35">
        <v>6900</v>
      </c>
      <c r="G415" s="22">
        <v>0</v>
      </c>
      <c r="H415" s="27" t="s">
        <v>33</v>
      </c>
      <c r="I415" s="40" t="s">
        <v>42</v>
      </c>
      <c r="J415" s="28">
        <v>2016</v>
      </c>
      <c r="K415" s="29" t="s">
        <v>34</v>
      </c>
      <c r="L415" s="30" t="s">
        <v>1433</v>
      </c>
      <c r="M415" s="31">
        <v>28000</v>
      </c>
      <c r="N415" s="32">
        <v>23000</v>
      </c>
      <c r="O415" s="21">
        <v>5000</v>
      </c>
      <c r="P415" s="21">
        <v>0</v>
      </c>
      <c r="Q415" s="21">
        <v>0</v>
      </c>
      <c r="R415" s="23">
        <v>0</v>
      </c>
    </row>
    <row r="416" spans="1:18" x14ac:dyDescent="0.35">
      <c r="A416" s="24" t="s">
        <v>94</v>
      </c>
      <c r="B416" s="33" t="s">
        <v>371</v>
      </c>
      <c r="C416" s="26" t="s">
        <v>1434</v>
      </c>
      <c r="D416" s="13" t="s">
        <v>1435</v>
      </c>
      <c r="E416" s="20" t="s">
        <v>1436</v>
      </c>
      <c r="F416" s="22">
        <v>1000</v>
      </c>
      <c r="G416" s="22">
        <v>0</v>
      </c>
      <c r="H416" s="27" t="s">
        <v>33</v>
      </c>
      <c r="I416" s="40" t="s">
        <v>42</v>
      </c>
      <c r="J416" s="28">
        <v>2014</v>
      </c>
      <c r="K416" s="29" t="s">
        <v>47</v>
      </c>
      <c r="L416" s="30" t="s">
        <v>152</v>
      </c>
      <c r="M416" s="31">
        <v>16500</v>
      </c>
      <c r="N416" s="32">
        <v>0</v>
      </c>
      <c r="O416" s="21">
        <v>0</v>
      </c>
      <c r="P416" s="21">
        <v>16500</v>
      </c>
      <c r="Q416" s="21">
        <v>0</v>
      </c>
      <c r="R416" s="23">
        <v>0</v>
      </c>
    </row>
    <row r="417" spans="1:18" x14ac:dyDescent="0.35">
      <c r="A417" s="24" t="s">
        <v>63</v>
      </c>
      <c r="B417" s="33" t="s">
        <v>257</v>
      </c>
      <c r="C417" s="26" t="s">
        <v>1437</v>
      </c>
      <c r="D417" s="13" t="s">
        <v>1438</v>
      </c>
      <c r="E417" s="20" t="s">
        <v>1439</v>
      </c>
      <c r="F417" s="22">
        <v>250</v>
      </c>
      <c r="G417" s="22" t="s">
        <v>93</v>
      </c>
      <c r="H417" s="27" t="s">
        <v>33</v>
      </c>
      <c r="I417" s="40" t="s">
        <v>42</v>
      </c>
      <c r="J417" s="28" t="s">
        <v>93</v>
      </c>
      <c r="K417" s="29" t="s">
        <v>34</v>
      </c>
      <c r="L417" s="30" t="s">
        <v>213</v>
      </c>
      <c r="M417" s="31">
        <v>10000</v>
      </c>
      <c r="N417" s="32">
        <v>10000</v>
      </c>
      <c r="O417" s="35">
        <v>0</v>
      </c>
      <c r="P417" s="21">
        <v>0</v>
      </c>
      <c r="Q417" s="21">
        <v>0</v>
      </c>
      <c r="R417" s="23">
        <v>0</v>
      </c>
    </row>
    <row r="418" spans="1:18" x14ac:dyDescent="0.35">
      <c r="A418" s="24" t="s">
        <v>38</v>
      </c>
      <c r="B418" s="33" t="s">
        <v>39</v>
      </c>
      <c r="C418" s="36" t="s">
        <v>1440</v>
      </c>
      <c r="D418" s="13" t="s">
        <v>1441</v>
      </c>
      <c r="E418" s="20" t="s">
        <v>1442</v>
      </c>
      <c r="F418" s="22">
        <v>51</v>
      </c>
      <c r="G418" s="22">
        <v>0</v>
      </c>
      <c r="H418" s="27" t="s">
        <v>33</v>
      </c>
      <c r="I418" s="13" t="s">
        <v>42</v>
      </c>
      <c r="J418" s="28">
        <v>2017</v>
      </c>
      <c r="K418" s="29" t="s">
        <v>34</v>
      </c>
      <c r="L418" s="30" t="s">
        <v>522</v>
      </c>
      <c r="M418" s="31">
        <v>3000</v>
      </c>
      <c r="N418" s="32">
        <v>3000</v>
      </c>
      <c r="O418" s="35">
        <v>0</v>
      </c>
      <c r="P418" s="21">
        <v>0</v>
      </c>
      <c r="Q418" s="21">
        <v>0</v>
      </c>
      <c r="R418" s="23">
        <v>0</v>
      </c>
    </row>
    <row r="419" spans="1:18" ht="11.15" customHeight="1" x14ac:dyDescent="0.35">
      <c r="A419" s="24" t="s">
        <v>35</v>
      </c>
      <c r="B419" s="33" t="s">
        <v>36</v>
      </c>
      <c r="C419" s="26" t="s">
        <v>501</v>
      </c>
      <c r="D419" s="13" t="s">
        <v>1446</v>
      </c>
      <c r="E419" s="20" t="s">
        <v>1447</v>
      </c>
      <c r="F419" s="22">
        <v>2000</v>
      </c>
      <c r="G419" s="22">
        <v>0</v>
      </c>
      <c r="H419" s="27" t="s">
        <v>33</v>
      </c>
      <c r="I419" s="40" t="s">
        <v>42</v>
      </c>
      <c r="J419" s="28">
        <v>2011</v>
      </c>
      <c r="K419" s="34" t="s">
        <v>34</v>
      </c>
      <c r="L419" s="30" t="s">
        <v>1448</v>
      </c>
      <c r="M419" s="31">
        <v>28000</v>
      </c>
      <c r="N419" s="32">
        <v>0</v>
      </c>
      <c r="O419" s="21">
        <v>18000</v>
      </c>
      <c r="P419" s="21">
        <v>0</v>
      </c>
      <c r="Q419" s="21">
        <v>10000</v>
      </c>
      <c r="R419" s="23">
        <v>0</v>
      </c>
    </row>
    <row r="420" spans="1:18" x14ac:dyDescent="0.35">
      <c r="A420" s="24" t="s">
        <v>30</v>
      </c>
      <c r="B420" s="33" t="s">
        <v>31</v>
      </c>
      <c r="C420" s="26" t="s">
        <v>1449</v>
      </c>
      <c r="D420" s="13" t="s">
        <v>1449</v>
      </c>
      <c r="E420" s="20" t="s">
        <v>1450</v>
      </c>
      <c r="F420" s="22">
        <v>479</v>
      </c>
      <c r="G420" s="22">
        <v>0</v>
      </c>
      <c r="H420" s="27" t="s">
        <v>33</v>
      </c>
      <c r="I420" s="40" t="s">
        <v>42</v>
      </c>
      <c r="J420" s="28">
        <v>2011</v>
      </c>
      <c r="K420" s="29" t="s">
        <v>47</v>
      </c>
      <c r="L420" s="30" t="s">
        <v>461</v>
      </c>
      <c r="M420" s="31">
        <v>9855</v>
      </c>
      <c r="N420" s="32">
        <v>0</v>
      </c>
      <c r="O420" s="21">
        <v>0</v>
      </c>
      <c r="P420" s="21">
        <v>0</v>
      </c>
      <c r="Q420" s="21">
        <v>0</v>
      </c>
      <c r="R420" s="23">
        <v>9855</v>
      </c>
    </row>
    <row r="421" spans="1:18" x14ac:dyDescent="0.35">
      <c r="A421" s="24" t="s">
        <v>48</v>
      </c>
      <c r="B421" s="33" t="s">
        <v>440</v>
      </c>
      <c r="C421" s="26" t="s">
        <v>508</v>
      </c>
      <c r="D421" s="13" t="s">
        <v>2129</v>
      </c>
      <c r="E421" s="20" t="s">
        <v>2171</v>
      </c>
      <c r="F421" s="22">
        <v>3000</v>
      </c>
      <c r="G421" s="22">
        <v>0</v>
      </c>
      <c r="H421" s="27" t="s">
        <v>33</v>
      </c>
      <c r="I421" s="40" t="s">
        <v>42</v>
      </c>
      <c r="J421" s="28">
        <v>2016</v>
      </c>
      <c r="K421" s="29" t="s">
        <v>47</v>
      </c>
      <c r="L421" s="30" t="s">
        <v>152</v>
      </c>
      <c r="M421" s="31">
        <v>75000</v>
      </c>
      <c r="N421" s="32">
        <v>0</v>
      </c>
      <c r="O421" s="35">
        <v>0</v>
      </c>
      <c r="P421" s="21">
        <v>75000</v>
      </c>
      <c r="Q421" s="21">
        <v>0</v>
      </c>
      <c r="R421" s="23">
        <v>0</v>
      </c>
    </row>
    <row r="422" spans="1:18" x14ac:dyDescent="0.35">
      <c r="A422" s="24" t="s">
        <v>85</v>
      </c>
      <c r="B422" s="33" t="s">
        <v>330</v>
      </c>
      <c r="C422" s="26" t="s">
        <v>1451</v>
      </c>
      <c r="D422" s="13" t="s">
        <v>1452</v>
      </c>
      <c r="E422" s="20" t="s">
        <v>1453</v>
      </c>
      <c r="F422" s="22">
        <v>480</v>
      </c>
      <c r="G422" s="22">
        <v>275</v>
      </c>
      <c r="H422" s="27" t="s">
        <v>52</v>
      </c>
      <c r="I422" s="40" t="s">
        <v>42</v>
      </c>
      <c r="J422" s="28">
        <v>2014</v>
      </c>
      <c r="K422" s="34" t="s">
        <v>34</v>
      </c>
      <c r="L422" s="30" t="s">
        <v>1229</v>
      </c>
      <c r="M422" s="31">
        <v>40000</v>
      </c>
      <c r="N422" s="32">
        <v>24000</v>
      </c>
      <c r="O422" s="21">
        <v>16000</v>
      </c>
      <c r="P422" s="21">
        <v>0</v>
      </c>
      <c r="Q422" s="21">
        <v>0</v>
      </c>
      <c r="R422" s="23">
        <v>0</v>
      </c>
    </row>
    <row r="423" spans="1:18" x14ac:dyDescent="0.35">
      <c r="A423" s="24" t="s">
        <v>94</v>
      </c>
      <c r="B423" s="33" t="s">
        <v>95</v>
      </c>
      <c r="C423" s="26" t="s">
        <v>1454</v>
      </c>
      <c r="D423" s="13" t="s">
        <v>1455</v>
      </c>
      <c r="E423" s="20" t="s">
        <v>1456</v>
      </c>
      <c r="F423" s="22">
        <v>1900</v>
      </c>
      <c r="G423" s="22">
        <v>0</v>
      </c>
      <c r="H423" s="27" t="s">
        <v>33</v>
      </c>
      <c r="I423" s="40" t="s">
        <v>42</v>
      </c>
      <c r="J423" s="28">
        <v>2011</v>
      </c>
      <c r="K423" s="29" t="s">
        <v>47</v>
      </c>
      <c r="L423" s="30" t="s">
        <v>417</v>
      </c>
      <c r="M423" s="31">
        <v>40000</v>
      </c>
      <c r="N423" s="32">
        <v>0</v>
      </c>
      <c r="O423" s="21">
        <v>0</v>
      </c>
      <c r="P423" s="21">
        <v>30000</v>
      </c>
      <c r="Q423" s="21">
        <v>0</v>
      </c>
      <c r="R423" s="23">
        <v>10000</v>
      </c>
    </row>
    <row r="424" spans="1:18" x14ac:dyDescent="0.35">
      <c r="A424" s="24" t="s">
        <v>85</v>
      </c>
      <c r="B424" s="33" t="s">
        <v>330</v>
      </c>
      <c r="C424" s="26" t="s">
        <v>1155</v>
      </c>
      <c r="D424" s="13" t="s">
        <v>1457</v>
      </c>
      <c r="E424" s="20" t="s">
        <v>1458</v>
      </c>
      <c r="F424" s="22">
        <v>480</v>
      </c>
      <c r="G424" s="22">
        <v>0</v>
      </c>
      <c r="H424" s="27" t="s">
        <v>33</v>
      </c>
      <c r="I424" s="40" t="s">
        <v>42</v>
      </c>
      <c r="J424" s="28">
        <v>2015</v>
      </c>
      <c r="K424" s="29" t="s">
        <v>34</v>
      </c>
      <c r="L424" s="30" t="s">
        <v>1459</v>
      </c>
      <c r="M424" s="31">
        <v>17412</v>
      </c>
      <c r="N424" s="32">
        <v>7712</v>
      </c>
      <c r="O424" s="35">
        <v>9700</v>
      </c>
      <c r="P424" s="21">
        <v>0</v>
      </c>
      <c r="Q424" s="21">
        <v>0</v>
      </c>
      <c r="R424" s="23">
        <v>0</v>
      </c>
    </row>
    <row r="425" spans="1:18" x14ac:dyDescent="0.35">
      <c r="A425" s="24" t="s">
        <v>38</v>
      </c>
      <c r="B425" s="33" t="s">
        <v>212</v>
      </c>
      <c r="C425" s="26" t="s">
        <v>312</v>
      </c>
      <c r="D425" s="13" t="s">
        <v>1460</v>
      </c>
      <c r="E425" s="20" t="s">
        <v>1461</v>
      </c>
      <c r="F425" s="22">
        <v>52</v>
      </c>
      <c r="G425" s="22">
        <v>0</v>
      </c>
      <c r="H425" s="27" t="s">
        <v>33</v>
      </c>
      <c r="I425" s="40" t="s">
        <v>42</v>
      </c>
      <c r="J425" s="28">
        <v>2016</v>
      </c>
      <c r="K425" s="29" t="s">
        <v>34</v>
      </c>
      <c r="L425" s="30" t="s">
        <v>315</v>
      </c>
      <c r="M425" s="31">
        <v>8000</v>
      </c>
      <c r="N425" s="32">
        <v>8000</v>
      </c>
      <c r="O425" s="35">
        <v>0</v>
      </c>
      <c r="P425" s="21">
        <v>0</v>
      </c>
      <c r="Q425" s="21">
        <v>0</v>
      </c>
      <c r="R425" s="23">
        <v>0</v>
      </c>
    </row>
    <row r="426" spans="1:18" ht="10.5" customHeight="1" x14ac:dyDescent="0.35">
      <c r="A426" s="24" t="s">
        <v>48</v>
      </c>
      <c r="B426" s="33" t="s">
        <v>210</v>
      </c>
      <c r="C426" s="26" t="s">
        <v>1462</v>
      </c>
      <c r="D426" s="13" t="s">
        <v>2122</v>
      </c>
      <c r="E426" s="20" t="s">
        <v>2167</v>
      </c>
      <c r="F426" s="22">
        <v>2300</v>
      </c>
      <c r="G426" s="22">
        <v>0</v>
      </c>
      <c r="H426" s="27" t="s">
        <v>33</v>
      </c>
      <c r="I426" s="40" t="s">
        <v>42</v>
      </c>
      <c r="J426" s="28">
        <v>2013</v>
      </c>
      <c r="K426" s="29" t="s">
        <v>34</v>
      </c>
      <c r="L426" s="30" t="s">
        <v>267</v>
      </c>
      <c r="M426" s="31">
        <v>33000</v>
      </c>
      <c r="N426" s="32">
        <v>0</v>
      </c>
      <c r="O426" s="21">
        <v>33000</v>
      </c>
      <c r="P426" s="35">
        <v>0</v>
      </c>
      <c r="Q426" s="21">
        <v>0</v>
      </c>
      <c r="R426" s="23">
        <v>0</v>
      </c>
    </row>
    <row r="427" spans="1:18" x14ac:dyDescent="0.35">
      <c r="A427" s="24" t="s">
        <v>91</v>
      </c>
      <c r="B427" s="33" t="s">
        <v>202</v>
      </c>
      <c r="C427" s="26" t="s">
        <v>1463</v>
      </c>
      <c r="D427" s="13" t="s">
        <v>1463</v>
      </c>
      <c r="E427" s="13" t="s">
        <v>1464</v>
      </c>
      <c r="F427" s="22">
        <v>475</v>
      </c>
      <c r="G427" s="22">
        <v>0</v>
      </c>
      <c r="H427" s="27" t="s">
        <v>33</v>
      </c>
      <c r="I427" s="40" t="s">
        <v>42</v>
      </c>
      <c r="J427" s="28">
        <v>2015</v>
      </c>
      <c r="K427" s="29" t="s">
        <v>34</v>
      </c>
      <c r="L427" s="30" t="s">
        <v>1076</v>
      </c>
      <c r="M427" s="31">
        <v>10000</v>
      </c>
      <c r="N427" s="32">
        <v>2000</v>
      </c>
      <c r="O427" s="21">
        <v>8000</v>
      </c>
      <c r="P427" s="21">
        <v>0</v>
      </c>
      <c r="Q427" s="21">
        <v>0</v>
      </c>
      <c r="R427" s="23">
        <v>0</v>
      </c>
    </row>
    <row r="428" spans="1:18" x14ac:dyDescent="0.35">
      <c r="A428" s="24" t="s">
        <v>35</v>
      </c>
      <c r="B428" s="33" t="s">
        <v>260</v>
      </c>
      <c r="C428" s="26" t="s">
        <v>1465</v>
      </c>
      <c r="D428" s="13" t="s">
        <v>1465</v>
      </c>
      <c r="E428" s="13" t="s">
        <v>1466</v>
      </c>
      <c r="F428" s="22">
        <v>118</v>
      </c>
      <c r="G428" s="22">
        <v>0</v>
      </c>
      <c r="H428" s="27" t="s">
        <v>33</v>
      </c>
      <c r="I428" s="40" t="s">
        <v>42</v>
      </c>
      <c r="J428" s="28">
        <v>2014</v>
      </c>
      <c r="K428" s="29" t="s">
        <v>34</v>
      </c>
      <c r="L428" s="30" t="s">
        <v>1467</v>
      </c>
      <c r="M428" s="31">
        <v>3692</v>
      </c>
      <c r="N428" s="32">
        <v>1692</v>
      </c>
      <c r="O428" s="35">
        <v>2000</v>
      </c>
      <c r="P428" s="21">
        <v>0</v>
      </c>
      <c r="Q428" s="21">
        <v>0</v>
      </c>
      <c r="R428" s="23">
        <v>0</v>
      </c>
    </row>
    <row r="429" spans="1:18" x14ac:dyDescent="0.35">
      <c r="A429" s="24" t="s">
        <v>38</v>
      </c>
      <c r="B429" s="48" t="s">
        <v>285</v>
      </c>
      <c r="C429" s="26" t="s">
        <v>1468</v>
      </c>
      <c r="D429" s="13" t="s">
        <v>1469</v>
      </c>
      <c r="E429" s="13" t="s">
        <v>1470</v>
      </c>
      <c r="F429" s="22">
        <v>180</v>
      </c>
      <c r="G429" s="22">
        <v>0</v>
      </c>
      <c r="H429" s="27" t="s">
        <v>33</v>
      </c>
      <c r="I429" s="13" t="s">
        <v>42</v>
      </c>
      <c r="J429" s="28">
        <v>2016</v>
      </c>
      <c r="K429" s="29" t="s">
        <v>34</v>
      </c>
      <c r="L429" s="30" t="s">
        <v>795</v>
      </c>
      <c r="M429" s="31">
        <v>8000</v>
      </c>
      <c r="N429" s="32">
        <v>5000</v>
      </c>
      <c r="O429" s="21">
        <v>3000</v>
      </c>
      <c r="P429" s="21">
        <v>0</v>
      </c>
      <c r="Q429" s="21">
        <v>0</v>
      </c>
      <c r="R429" s="23">
        <v>0</v>
      </c>
    </row>
    <row r="430" spans="1:18" x14ac:dyDescent="0.35">
      <c r="A430" s="24" t="s">
        <v>30</v>
      </c>
      <c r="B430" s="33" t="s">
        <v>80</v>
      </c>
      <c r="C430" s="26" t="s">
        <v>1471</v>
      </c>
      <c r="D430" s="13" t="s">
        <v>1472</v>
      </c>
      <c r="E430" s="13" t="s">
        <v>1473</v>
      </c>
      <c r="F430" s="22">
        <v>76</v>
      </c>
      <c r="G430" s="22">
        <v>0</v>
      </c>
      <c r="H430" s="27" t="s">
        <v>33</v>
      </c>
      <c r="I430" s="40" t="s">
        <v>42</v>
      </c>
      <c r="J430" s="28">
        <v>2016</v>
      </c>
      <c r="K430" s="34" t="s">
        <v>34</v>
      </c>
      <c r="L430" s="30" t="s">
        <v>522</v>
      </c>
      <c r="M430" s="31">
        <v>3500</v>
      </c>
      <c r="N430" s="32">
        <v>3500</v>
      </c>
      <c r="O430" s="35">
        <v>0</v>
      </c>
      <c r="P430" s="21">
        <v>0</v>
      </c>
      <c r="Q430" s="21">
        <v>0</v>
      </c>
      <c r="R430" s="23">
        <v>0</v>
      </c>
    </row>
    <row r="431" spans="1:18" x14ac:dyDescent="0.35">
      <c r="A431" s="24" t="s">
        <v>38</v>
      </c>
      <c r="B431" s="33" t="s">
        <v>171</v>
      </c>
      <c r="C431" s="26" t="s">
        <v>1474</v>
      </c>
      <c r="D431" s="13" t="s">
        <v>1475</v>
      </c>
      <c r="E431" s="20" t="s">
        <v>1476</v>
      </c>
      <c r="F431" s="22">
        <v>250</v>
      </c>
      <c r="G431" s="22">
        <v>0</v>
      </c>
      <c r="H431" s="27" t="s">
        <v>33</v>
      </c>
      <c r="I431" s="40" t="s">
        <v>42</v>
      </c>
      <c r="J431" s="28">
        <v>2014</v>
      </c>
      <c r="K431" s="29" t="s">
        <v>34</v>
      </c>
      <c r="L431" s="30" t="s">
        <v>1477</v>
      </c>
      <c r="M431" s="31">
        <v>4500</v>
      </c>
      <c r="N431" s="32">
        <v>1000</v>
      </c>
      <c r="O431" s="35">
        <v>2000</v>
      </c>
      <c r="P431" s="21">
        <v>0</v>
      </c>
      <c r="Q431" s="21">
        <v>1500</v>
      </c>
      <c r="R431" s="23">
        <v>0</v>
      </c>
    </row>
    <row r="432" spans="1:18" x14ac:dyDescent="0.35">
      <c r="A432" s="24" t="s">
        <v>38</v>
      </c>
      <c r="B432" s="25" t="s">
        <v>171</v>
      </c>
      <c r="C432" s="36" t="s">
        <v>1474</v>
      </c>
      <c r="D432" s="13" t="s">
        <v>1478</v>
      </c>
      <c r="E432" s="20" t="s">
        <v>1476</v>
      </c>
      <c r="F432" s="22">
        <v>184</v>
      </c>
      <c r="G432" s="22">
        <v>0</v>
      </c>
      <c r="H432" s="27" t="s">
        <v>33</v>
      </c>
      <c r="I432" s="40" t="s">
        <v>42</v>
      </c>
      <c r="J432" s="28">
        <v>2015</v>
      </c>
      <c r="K432" s="29" t="s">
        <v>34</v>
      </c>
      <c r="L432" s="30" t="s">
        <v>1477</v>
      </c>
      <c r="M432" s="31">
        <v>4500</v>
      </c>
      <c r="N432" s="32">
        <v>1000</v>
      </c>
      <c r="O432" s="35">
        <v>2000</v>
      </c>
      <c r="P432" s="21">
        <v>0</v>
      </c>
      <c r="Q432" s="21">
        <v>1500</v>
      </c>
      <c r="R432" s="23">
        <v>0</v>
      </c>
    </row>
    <row r="433" spans="1:18" x14ac:dyDescent="0.35">
      <c r="A433" s="24" t="s">
        <v>35</v>
      </c>
      <c r="B433" s="33" t="s">
        <v>425</v>
      </c>
      <c r="C433" s="26" t="s">
        <v>1479</v>
      </c>
      <c r="D433" s="13" t="s">
        <v>1480</v>
      </c>
      <c r="E433" s="20" t="s">
        <v>1481</v>
      </c>
      <c r="F433" s="22">
        <v>475</v>
      </c>
      <c r="G433" s="22">
        <v>0</v>
      </c>
      <c r="H433" s="27" t="s">
        <v>33</v>
      </c>
      <c r="I433" s="40" t="s">
        <v>42</v>
      </c>
      <c r="J433" s="28">
        <v>2015</v>
      </c>
      <c r="K433" s="29" t="s">
        <v>34</v>
      </c>
      <c r="L433" s="30" t="s">
        <v>1482</v>
      </c>
      <c r="M433" s="31">
        <v>9000</v>
      </c>
      <c r="N433" s="32">
        <v>7000</v>
      </c>
      <c r="O433" s="35">
        <v>2000</v>
      </c>
      <c r="P433" s="21">
        <v>0</v>
      </c>
      <c r="Q433" s="21">
        <v>0</v>
      </c>
      <c r="R433" s="23">
        <v>0</v>
      </c>
    </row>
    <row r="434" spans="1:18" x14ac:dyDescent="0.35">
      <c r="A434" s="24" t="s">
        <v>35</v>
      </c>
      <c r="B434" s="33" t="s">
        <v>260</v>
      </c>
      <c r="C434" s="26" t="s">
        <v>393</v>
      </c>
      <c r="D434" s="13" t="s">
        <v>1483</v>
      </c>
      <c r="E434" s="20" t="s">
        <v>1484</v>
      </c>
      <c r="F434" s="22">
        <v>346.5</v>
      </c>
      <c r="G434" s="22">
        <v>0</v>
      </c>
      <c r="H434" s="27" t="s">
        <v>33</v>
      </c>
      <c r="I434" s="40" t="s">
        <v>42</v>
      </c>
      <c r="J434" s="28">
        <v>2010</v>
      </c>
      <c r="K434" s="34" t="s">
        <v>34</v>
      </c>
      <c r="L434" s="30" t="s">
        <v>1485</v>
      </c>
      <c r="M434" s="31">
        <v>14600</v>
      </c>
      <c r="N434" s="32">
        <v>0</v>
      </c>
      <c r="O434" s="35">
        <v>0</v>
      </c>
      <c r="P434" s="21">
        <v>0</v>
      </c>
      <c r="Q434" s="21">
        <v>14600</v>
      </c>
      <c r="R434" s="23">
        <v>0</v>
      </c>
    </row>
    <row r="435" spans="1:18" x14ac:dyDescent="0.35">
      <c r="A435" s="24" t="s">
        <v>44</v>
      </c>
      <c r="B435" s="33" t="s">
        <v>106</v>
      </c>
      <c r="C435" s="42" t="s">
        <v>1486</v>
      </c>
      <c r="D435" s="13" t="s">
        <v>1487</v>
      </c>
      <c r="E435" s="20" t="s">
        <v>1488</v>
      </c>
      <c r="F435" s="22">
        <v>500</v>
      </c>
      <c r="G435" s="22">
        <v>0</v>
      </c>
      <c r="H435" s="27" t="s">
        <v>33</v>
      </c>
      <c r="I435" s="40" t="s">
        <v>42</v>
      </c>
      <c r="J435" s="28">
        <v>2017</v>
      </c>
      <c r="K435" s="29" t="s">
        <v>47</v>
      </c>
      <c r="L435" s="30" t="s">
        <v>1489</v>
      </c>
      <c r="M435" s="31">
        <v>8700</v>
      </c>
      <c r="N435" s="32">
        <v>1500</v>
      </c>
      <c r="O435" s="35">
        <v>1200</v>
      </c>
      <c r="P435" s="21">
        <v>0</v>
      </c>
      <c r="Q435" s="21">
        <v>0</v>
      </c>
      <c r="R435" s="23">
        <v>6000</v>
      </c>
    </row>
    <row r="436" spans="1:18" x14ac:dyDescent="0.35">
      <c r="A436" s="24" t="s">
        <v>63</v>
      </c>
      <c r="B436" s="33" t="s">
        <v>257</v>
      </c>
      <c r="C436" s="26" t="s">
        <v>1490</v>
      </c>
      <c r="D436" s="13" t="s">
        <v>1491</v>
      </c>
      <c r="E436" s="20" t="s">
        <v>1492</v>
      </c>
      <c r="F436" s="22">
        <v>500</v>
      </c>
      <c r="G436" s="22">
        <v>0</v>
      </c>
      <c r="H436" s="27" t="s">
        <v>33</v>
      </c>
      <c r="I436" s="40" t="s">
        <v>42</v>
      </c>
      <c r="J436" s="28">
        <v>2005</v>
      </c>
      <c r="K436" s="29" t="s">
        <v>47</v>
      </c>
      <c r="L436" s="30" t="s">
        <v>152</v>
      </c>
      <c r="M436" s="31">
        <v>1825</v>
      </c>
      <c r="N436" s="32">
        <v>0</v>
      </c>
      <c r="O436" s="21">
        <v>0</v>
      </c>
      <c r="P436" s="35">
        <v>1825</v>
      </c>
      <c r="Q436" s="21">
        <v>0</v>
      </c>
      <c r="R436" s="23">
        <v>0</v>
      </c>
    </row>
    <row r="437" spans="1:18" x14ac:dyDescent="0.35">
      <c r="A437" s="24" t="s">
        <v>38</v>
      </c>
      <c r="B437" s="25" t="s">
        <v>171</v>
      </c>
      <c r="C437" s="36" t="s">
        <v>1493</v>
      </c>
      <c r="D437" s="13" t="s">
        <v>1494</v>
      </c>
      <c r="E437" s="20" t="s">
        <v>1381</v>
      </c>
      <c r="F437" s="22">
        <v>499</v>
      </c>
      <c r="G437" s="22">
        <v>0</v>
      </c>
      <c r="H437" s="27" t="s">
        <v>33</v>
      </c>
      <c r="I437" s="40" t="s">
        <v>42</v>
      </c>
      <c r="J437" s="28">
        <v>2013</v>
      </c>
      <c r="K437" s="29" t="s">
        <v>34</v>
      </c>
      <c r="L437" s="30" t="s">
        <v>2181</v>
      </c>
      <c r="M437" s="31">
        <v>33000</v>
      </c>
      <c r="N437" s="32">
        <v>9000</v>
      </c>
      <c r="O437" s="35">
        <v>24000</v>
      </c>
      <c r="P437" s="21">
        <v>0</v>
      </c>
      <c r="Q437" s="21">
        <v>0</v>
      </c>
      <c r="R437" s="23">
        <v>0</v>
      </c>
    </row>
    <row r="438" spans="1:18" x14ac:dyDescent="0.35">
      <c r="A438" s="24" t="s">
        <v>100</v>
      </c>
      <c r="B438" s="33" t="s">
        <v>118</v>
      </c>
      <c r="C438" s="26" t="s">
        <v>1495</v>
      </c>
      <c r="D438" s="13" t="s">
        <v>1496</v>
      </c>
      <c r="E438" s="20" t="s">
        <v>1497</v>
      </c>
      <c r="F438" s="22">
        <v>482.03</v>
      </c>
      <c r="G438" s="22">
        <v>0</v>
      </c>
      <c r="H438" s="27" t="s">
        <v>33</v>
      </c>
      <c r="I438" s="40" t="s">
        <v>42</v>
      </c>
      <c r="J438" s="28">
        <v>2012</v>
      </c>
      <c r="K438" s="29" t="s">
        <v>34</v>
      </c>
      <c r="L438" s="30" t="s">
        <v>1498</v>
      </c>
      <c r="M438" s="31">
        <v>12000</v>
      </c>
      <c r="N438" s="32">
        <v>8000</v>
      </c>
      <c r="O438" s="21">
        <v>4000</v>
      </c>
      <c r="P438" s="21">
        <v>0</v>
      </c>
      <c r="Q438" s="21">
        <v>0</v>
      </c>
      <c r="R438" s="23">
        <v>0</v>
      </c>
    </row>
    <row r="439" spans="1:18" x14ac:dyDescent="0.35">
      <c r="A439" s="24" t="s">
        <v>35</v>
      </c>
      <c r="B439" s="33" t="s">
        <v>36</v>
      </c>
      <c r="C439" s="26" t="s">
        <v>1500</v>
      </c>
      <c r="D439" s="13" t="s">
        <v>1501</v>
      </c>
      <c r="E439" s="20" t="s">
        <v>1502</v>
      </c>
      <c r="F439" s="22">
        <v>194</v>
      </c>
      <c r="G439" s="22">
        <v>0</v>
      </c>
      <c r="H439" s="27" t="s">
        <v>33</v>
      </c>
      <c r="I439" s="40" t="s">
        <v>42</v>
      </c>
      <c r="J439" s="28">
        <v>2017</v>
      </c>
      <c r="K439" s="29" t="s">
        <v>34</v>
      </c>
      <c r="L439" s="30" t="s">
        <v>156</v>
      </c>
      <c r="M439" s="31">
        <v>10000</v>
      </c>
      <c r="N439" s="32">
        <v>8000</v>
      </c>
      <c r="O439" s="21">
        <v>2000</v>
      </c>
      <c r="P439" s="35">
        <v>0</v>
      </c>
      <c r="Q439" s="21">
        <v>0</v>
      </c>
      <c r="R439" s="23">
        <v>0</v>
      </c>
    </row>
    <row r="440" spans="1:18" x14ac:dyDescent="0.35">
      <c r="A440" s="24" t="s">
        <v>38</v>
      </c>
      <c r="B440" s="33" t="s">
        <v>39</v>
      </c>
      <c r="C440" s="26" t="s">
        <v>1503</v>
      </c>
      <c r="D440" s="13" t="s">
        <v>1504</v>
      </c>
      <c r="E440" s="20" t="s">
        <v>1505</v>
      </c>
      <c r="F440" s="22">
        <v>240</v>
      </c>
      <c r="G440" s="22">
        <v>0</v>
      </c>
      <c r="H440" s="27" t="s">
        <v>33</v>
      </c>
      <c r="I440" s="40" t="s">
        <v>42</v>
      </c>
      <c r="J440" s="28">
        <v>2012</v>
      </c>
      <c r="K440" s="34" t="s">
        <v>34</v>
      </c>
      <c r="L440" s="30" t="s">
        <v>1506</v>
      </c>
      <c r="M440" s="31">
        <v>3000</v>
      </c>
      <c r="N440" s="32">
        <v>2000</v>
      </c>
      <c r="O440" s="35">
        <v>1000</v>
      </c>
      <c r="P440" s="21">
        <v>0</v>
      </c>
      <c r="Q440" s="21">
        <v>0</v>
      </c>
      <c r="R440" s="23">
        <v>0</v>
      </c>
    </row>
    <row r="441" spans="1:18" x14ac:dyDescent="0.35">
      <c r="A441" s="24" t="s">
        <v>38</v>
      </c>
      <c r="B441" s="33" t="s">
        <v>39</v>
      </c>
      <c r="C441" s="26" t="s">
        <v>1507</v>
      </c>
      <c r="D441" s="20" t="s">
        <v>1508</v>
      </c>
      <c r="E441" s="20" t="s">
        <v>1509</v>
      </c>
      <c r="F441" s="22">
        <v>475</v>
      </c>
      <c r="G441" s="22">
        <v>0</v>
      </c>
      <c r="H441" s="27" t="s">
        <v>33</v>
      </c>
      <c r="I441" s="40" t="s">
        <v>42</v>
      </c>
      <c r="J441" s="28">
        <v>2014</v>
      </c>
      <c r="K441" s="34" t="s">
        <v>34</v>
      </c>
      <c r="L441" s="37" t="s">
        <v>1510</v>
      </c>
      <c r="M441" s="31">
        <v>14000</v>
      </c>
      <c r="N441" s="32">
        <v>0</v>
      </c>
      <c r="O441" s="35">
        <v>14000</v>
      </c>
      <c r="P441" s="21">
        <v>0</v>
      </c>
      <c r="Q441" s="21">
        <v>0</v>
      </c>
      <c r="R441" s="23">
        <v>0</v>
      </c>
    </row>
    <row r="442" spans="1:18" ht="10.5" customHeight="1" x14ac:dyDescent="0.35">
      <c r="A442" s="24" t="s">
        <v>63</v>
      </c>
      <c r="B442" s="33" t="s">
        <v>134</v>
      </c>
      <c r="C442" s="26" t="s">
        <v>348</v>
      </c>
      <c r="D442" s="13" t="s">
        <v>1511</v>
      </c>
      <c r="E442" s="20" t="s">
        <v>1512</v>
      </c>
      <c r="F442" s="22">
        <v>500</v>
      </c>
      <c r="G442" s="22">
        <v>570.90000000000009</v>
      </c>
      <c r="H442" s="27" t="s">
        <v>52</v>
      </c>
      <c r="I442" s="40" t="s">
        <v>42</v>
      </c>
      <c r="J442" s="28">
        <v>2017</v>
      </c>
      <c r="K442" s="29" t="s">
        <v>47</v>
      </c>
      <c r="L442" s="30" t="s">
        <v>1513</v>
      </c>
      <c r="M442" s="31">
        <v>45000</v>
      </c>
      <c r="N442" s="32">
        <v>0</v>
      </c>
      <c r="O442" s="21">
        <v>20000</v>
      </c>
      <c r="P442" s="35">
        <v>25000</v>
      </c>
      <c r="Q442" s="21">
        <v>0</v>
      </c>
      <c r="R442" s="23">
        <v>0</v>
      </c>
    </row>
    <row r="443" spans="1:18" x14ac:dyDescent="0.35">
      <c r="A443" s="24" t="s">
        <v>35</v>
      </c>
      <c r="B443" s="33" t="s">
        <v>36</v>
      </c>
      <c r="C443" s="26" t="s">
        <v>1514</v>
      </c>
      <c r="D443" s="13" t="s">
        <v>1515</v>
      </c>
      <c r="E443" s="20" t="s">
        <v>1516</v>
      </c>
      <c r="F443" s="22">
        <v>1415</v>
      </c>
      <c r="G443" s="22">
        <v>0</v>
      </c>
      <c r="H443" s="27" t="s">
        <v>33</v>
      </c>
      <c r="I443" s="13" t="s">
        <v>42</v>
      </c>
      <c r="J443" s="28">
        <v>2012</v>
      </c>
      <c r="K443" s="29" t="s">
        <v>47</v>
      </c>
      <c r="L443" s="30" t="s">
        <v>1338</v>
      </c>
      <c r="M443" s="31">
        <v>70000</v>
      </c>
      <c r="N443" s="32">
        <v>0</v>
      </c>
      <c r="O443" s="21">
        <v>0</v>
      </c>
      <c r="P443" s="21">
        <v>0</v>
      </c>
      <c r="Q443" s="21">
        <v>0</v>
      </c>
      <c r="R443" s="23">
        <v>70000</v>
      </c>
    </row>
    <row r="444" spans="1:18" x14ac:dyDescent="0.35">
      <c r="A444" s="24" t="s">
        <v>30</v>
      </c>
      <c r="B444" s="33" t="s">
        <v>31</v>
      </c>
      <c r="C444" s="26" t="s">
        <v>1517</v>
      </c>
      <c r="D444" s="13" t="s">
        <v>1518</v>
      </c>
      <c r="E444" s="20" t="s">
        <v>1519</v>
      </c>
      <c r="F444" s="22">
        <v>250</v>
      </c>
      <c r="G444" s="22">
        <v>550</v>
      </c>
      <c r="H444" s="27" t="s">
        <v>52</v>
      </c>
      <c r="I444" s="40" t="s">
        <v>42</v>
      </c>
      <c r="J444" s="28">
        <v>2016</v>
      </c>
      <c r="K444" s="29" t="s">
        <v>34</v>
      </c>
      <c r="L444" s="30" t="s">
        <v>1520</v>
      </c>
      <c r="M444" s="31">
        <v>30450</v>
      </c>
      <c r="N444" s="32">
        <v>3400</v>
      </c>
      <c r="O444" s="21">
        <v>22050</v>
      </c>
      <c r="P444" s="21">
        <v>0</v>
      </c>
      <c r="Q444" s="21">
        <v>3000</v>
      </c>
      <c r="R444" s="23">
        <v>2000</v>
      </c>
    </row>
    <row r="445" spans="1:18" x14ac:dyDescent="0.35">
      <c r="A445" s="24" t="s">
        <v>35</v>
      </c>
      <c r="B445" s="33" t="s">
        <v>260</v>
      </c>
      <c r="C445" s="26" t="s">
        <v>1521</v>
      </c>
      <c r="D445" s="13" t="s">
        <v>1522</v>
      </c>
      <c r="E445" s="20" t="s">
        <v>1523</v>
      </c>
      <c r="F445" s="22">
        <v>4000</v>
      </c>
      <c r="G445" s="22">
        <v>0</v>
      </c>
      <c r="H445" s="27" t="s">
        <v>33</v>
      </c>
      <c r="I445" s="13" t="s">
        <v>42</v>
      </c>
      <c r="J445" s="28">
        <v>2017</v>
      </c>
      <c r="K445" s="29" t="s">
        <v>47</v>
      </c>
      <c r="L445" s="30" t="s">
        <v>152</v>
      </c>
      <c r="M445" s="31">
        <v>40000</v>
      </c>
      <c r="N445" s="32">
        <v>0</v>
      </c>
      <c r="O445" s="21">
        <v>0</v>
      </c>
      <c r="P445" s="21">
        <v>40000</v>
      </c>
      <c r="Q445" s="21">
        <v>0</v>
      </c>
      <c r="R445" s="23">
        <v>0</v>
      </c>
    </row>
    <row r="446" spans="1:18" x14ac:dyDescent="0.35">
      <c r="A446" s="24" t="s">
        <v>100</v>
      </c>
      <c r="B446" s="33" t="s">
        <v>101</v>
      </c>
      <c r="C446" s="26" t="s">
        <v>1524</v>
      </c>
      <c r="D446" s="13" t="s">
        <v>1525</v>
      </c>
      <c r="E446" s="20" t="s">
        <v>1526</v>
      </c>
      <c r="F446" s="22">
        <v>185</v>
      </c>
      <c r="G446" s="22">
        <v>0</v>
      </c>
      <c r="H446" s="27" t="s">
        <v>33</v>
      </c>
      <c r="I446" s="40" t="s">
        <v>42</v>
      </c>
      <c r="J446" s="28">
        <v>2016</v>
      </c>
      <c r="K446" s="34" t="s">
        <v>34</v>
      </c>
      <c r="L446" s="30" t="s">
        <v>1238</v>
      </c>
      <c r="M446" s="31">
        <v>2500</v>
      </c>
      <c r="N446" s="32">
        <v>1500</v>
      </c>
      <c r="O446" s="21">
        <v>1000</v>
      </c>
      <c r="P446" s="21">
        <v>0</v>
      </c>
      <c r="Q446" s="21">
        <v>0</v>
      </c>
      <c r="R446" s="23">
        <v>0</v>
      </c>
    </row>
    <row r="447" spans="1:18" x14ac:dyDescent="0.35">
      <c r="A447" s="24" t="s">
        <v>63</v>
      </c>
      <c r="B447" s="33" t="s">
        <v>205</v>
      </c>
      <c r="C447" s="26" t="s">
        <v>1527</v>
      </c>
      <c r="D447" s="13" t="s">
        <v>1528</v>
      </c>
      <c r="E447" s="13" t="s">
        <v>1529</v>
      </c>
      <c r="F447" s="22">
        <v>948</v>
      </c>
      <c r="G447" s="22">
        <v>0</v>
      </c>
      <c r="H447" s="27" t="s">
        <v>33</v>
      </c>
      <c r="I447" s="40" t="s">
        <v>42</v>
      </c>
      <c r="J447" s="28">
        <v>2016</v>
      </c>
      <c r="K447" s="29" t="s">
        <v>34</v>
      </c>
      <c r="L447" s="30" t="s">
        <v>1530</v>
      </c>
      <c r="M447" s="31">
        <v>21500</v>
      </c>
      <c r="N447" s="32">
        <v>4500</v>
      </c>
      <c r="O447" s="35">
        <v>17000</v>
      </c>
      <c r="P447" s="21">
        <v>0</v>
      </c>
      <c r="Q447" s="35">
        <v>0</v>
      </c>
      <c r="R447" s="23">
        <v>0</v>
      </c>
    </row>
    <row r="448" spans="1:18" x14ac:dyDescent="0.35">
      <c r="A448" s="24" t="s">
        <v>38</v>
      </c>
      <c r="B448" s="33" t="s">
        <v>171</v>
      </c>
      <c r="C448" s="26" t="s">
        <v>1531</v>
      </c>
      <c r="D448" s="13" t="s">
        <v>1531</v>
      </c>
      <c r="E448" s="13" t="s">
        <v>1532</v>
      </c>
      <c r="F448" s="22">
        <v>245</v>
      </c>
      <c r="G448" s="22">
        <v>0</v>
      </c>
      <c r="H448" s="27" t="s">
        <v>33</v>
      </c>
      <c r="I448" s="40" t="s">
        <v>42</v>
      </c>
      <c r="J448" s="28">
        <v>2014</v>
      </c>
      <c r="K448" s="29" t="s">
        <v>34</v>
      </c>
      <c r="L448" s="30" t="s">
        <v>110</v>
      </c>
      <c r="M448" s="31">
        <v>10800</v>
      </c>
      <c r="N448" s="32">
        <v>5750</v>
      </c>
      <c r="O448" s="21">
        <v>5050</v>
      </c>
      <c r="P448" s="35">
        <v>0</v>
      </c>
      <c r="Q448" s="21">
        <v>0</v>
      </c>
      <c r="R448" s="23">
        <v>0</v>
      </c>
    </row>
    <row r="449" spans="1:18" x14ac:dyDescent="0.35">
      <c r="A449" s="24" t="s">
        <v>63</v>
      </c>
      <c r="B449" s="33" t="s">
        <v>205</v>
      </c>
      <c r="C449" s="26" t="s">
        <v>359</v>
      </c>
      <c r="D449" s="13" t="s">
        <v>1534</v>
      </c>
      <c r="E449" s="20" t="s">
        <v>1535</v>
      </c>
      <c r="F449" s="22">
        <v>500</v>
      </c>
      <c r="G449" s="22">
        <v>550</v>
      </c>
      <c r="H449" s="27" t="s">
        <v>52</v>
      </c>
      <c r="I449" s="40" t="s">
        <v>42</v>
      </c>
      <c r="J449" s="28">
        <v>2016</v>
      </c>
      <c r="K449" s="34" t="s">
        <v>34</v>
      </c>
      <c r="L449" s="30" t="s">
        <v>1536</v>
      </c>
      <c r="M449" s="31">
        <v>30000</v>
      </c>
      <c r="N449" s="32">
        <v>5000</v>
      </c>
      <c r="O449" s="21">
        <v>25000</v>
      </c>
      <c r="P449" s="21">
        <v>0</v>
      </c>
      <c r="Q449" s="21">
        <v>0</v>
      </c>
      <c r="R449" s="23">
        <v>0</v>
      </c>
    </row>
    <row r="450" spans="1:18" x14ac:dyDescent="0.35">
      <c r="A450" s="24" t="s">
        <v>35</v>
      </c>
      <c r="B450" s="33" t="s">
        <v>36</v>
      </c>
      <c r="C450" s="26" t="s">
        <v>1537</v>
      </c>
      <c r="D450" s="13" t="s">
        <v>1538</v>
      </c>
      <c r="E450" s="20" t="s">
        <v>1539</v>
      </c>
      <c r="F450" s="22">
        <v>480</v>
      </c>
      <c r="G450" s="22">
        <v>0</v>
      </c>
      <c r="H450" s="27" t="s">
        <v>33</v>
      </c>
      <c r="I450" s="40" t="s">
        <v>42</v>
      </c>
      <c r="J450" s="28">
        <v>2014</v>
      </c>
      <c r="K450" s="34" t="s">
        <v>34</v>
      </c>
      <c r="L450" s="30" t="s">
        <v>1540</v>
      </c>
      <c r="M450" s="31">
        <v>22000</v>
      </c>
      <c r="N450" s="32">
        <v>0</v>
      </c>
      <c r="O450" s="35">
        <v>22000</v>
      </c>
      <c r="P450" s="21">
        <v>0</v>
      </c>
      <c r="Q450" s="21">
        <v>0</v>
      </c>
      <c r="R450" s="23">
        <v>0</v>
      </c>
    </row>
    <row r="451" spans="1:18" x14ac:dyDescent="0.35">
      <c r="A451" s="24" t="s">
        <v>48</v>
      </c>
      <c r="B451" s="33" t="s">
        <v>210</v>
      </c>
      <c r="C451" s="26" t="s">
        <v>1541</v>
      </c>
      <c r="D451" s="13" t="s">
        <v>1541</v>
      </c>
      <c r="E451" s="13" t="s">
        <v>1542</v>
      </c>
      <c r="F451" s="35">
        <v>1000</v>
      </c>
      <c r="G451" s="22">
        <v>0</v>
      </c>
      <c r="H451" s="27" t="s">
        <v>33</v>
      </c>
      <c r="I451" s="40" t="s">
        <v>42</v>
      </c>
      <c r="J451" s="28">
        <v>2016</v>
      </c>
      <c r="K451" s="29" t="s">
        <v>34</v>
      </c>
      <c r="L451" s="30" t="s">
        <v>1543</v>
      </c>
      <c r="M451" s="31">
        <v>20000</v>
      </c>
      <c r="N451" s="32">
        <v>0</v>
      </c>
      <c r="O451" s="21">
        <v>15000</v>
      </c>
      <c r="P451" s="21">
        <v>5000</v>
      </c>
      <c r="Q451" s="21">
        <v>0</v>
      </c>
      <c r="R451" s="23">
        <v>0</v>
      </c>
    </row>
    <row r="452" spans="1:18" ht="10.5" customHeight="1" x14ac:dyDescent="0.35">
      <c r="A452" s="24" t="s">
        <v>91</v>
      </c>
      <c r="B452" s="33" t="s">
        <v>295</v>
      </c>
      <c r="C452" s="26" t="s">
        <v>359</v>
      </c>
      <c r="D452" s="13" t="s">
        <v>2125</v>
      </c>
      <c r="E452" s="20" t="s">
        <v>592</v>
      </c>
      <c r="F452" s="22">
        <v>475</v>
      </c>
      <c r="G452" s="22">
        <v>0</v>
      </c>
      <c r="H452" s="27" t="s">
        <v>33</v>
      </c>
      <c r="I452" s="40" t="s">
        <v>42</v>
      </c>
      <c r="J452" s="28">
        <v>2015</v>
      </c>
      <c r="K452" s="34" t="s">
        <v>34</v>
      </c>
      <c r="L452" s="30" t="s">
        <v>593</v>
      </c>
      <c r="M452" s="31">
        <v>11420</v>
      </c>
      <c r="N452" s="32">
        <v>3420</v>
      </c>
      <c r="O452" s="35">
        <v>4500</v>
      </c>
      <c r="P452" s="21">
        <v>0</v>
      </c>
      <c r="Q452" s="21">
        <v>3500</v>
      </c>
      <c r="R452" s="23">
        <v>0</v>
      </c>
    </row>
    <row r="453" spans="1:18" x14ac:dyDescent="0.35">
      <c r="A453" s="24" t="s">
        <v>85</v>
      </c>
      <c r="B453" s="33" t="s">
        <v>252</v>
      </c>
      <c r="C453" s="26" t="s">
        <v>2088</v>
      </c>
      <c r="D453" s="13" t="s">
        <v>2131</v>
      </c>
      <c r="E453" s="20" t="s">
        <v>1156</v>
      </c>
      <c r="F453" s="22">
        <v>2700</v>
      </c>
      <c r="G453" s="22">
        <v>540</v>
      </c>
      <c r="H453" s="27" t="s">
        <v>52</v>
      </c>
      <c r="I453" s="40" t="s">
        <v>42</v>
      </c>
      <c r="J453" s="28">
        <v>2020</v>
      </c>
      <c r="K453" s="34" t="s">
        <v>34</v>
      </c>
      <c r="L453" s="30" t="s">
        <v>1157</v>
      </c>
      <c r="M453" s="31">
        <v>72000</v>
      </c>
      <c r="N453" s="32">
        <v>0</v>
      </c>
      <c r="O453" s="21">
        <v>0</v>
      </c>
      <c r="P453" s="21">
        <v>0</v>
      </c>
      <c r="Q453" s="21">
        <v>71500</v>
      </c>
      <c r="R453" s="23">
        <v>500</v>
      </c>
    </row>
    <row r="454" spans="1:18" x14ac:dyDescent="0.35">
      <c r="A454" s="24" t="s">
        <v>63</v>
      </c>
      <c r="B454" s="33" t="s">
        <v>64</v>
      </c>
      <c r="C454" s="26" t="s">
        <v>1544</v>
      </c>
      <c r="D454" s="13" t="s">
        <v>1545</v>
      </c>
      <c r="E454" s="20" t="s">
        <v>1546</v>
      </c>
      <c r="F454" s="22">
        <v>480</v>
      </c>
      <c r="G454" s="22">
        <v>0</v>
      </c>
      <c r="H454" s="27" t="s">
        <v>33</v>
      </c>
      <c r="I454" s="40" t="s">
        <v>42</v>
      </c>
      <c r="J454" s="28">
        <v>2013</v>
      </c>
      <c r="K454" s="29" t="s">
        <v>34</v>
      </c>
      <c r="L454" s="30" t="s">
        <v>1547</v>
      </c>
      <c r="M454" s="31">
        <v>8000</v>
      </c>
      <c r="N454" s="32">
        <v>4000</v>
      </c>
      <c r="O454" s="35">
        <v>4000</v>
      </c>
      <c r="P454" s="21">
        <v>0</v>
      </c>
      <c r="Q454" s="35">
        <v>0</v>
      </c>
      <c r="R454" s="23">
        <v>0</v>
      </c>
    </row>
    <row r="455" spans="1:18" x14ac:dyDescent="0.35">
      <c r="A455" s="24" t="s">
        <v>85</v>
      </c>
      <c r="B455" s="33" t="s">
        <v>252</v>
      </c>
      <c r="C455" s="26" t="s">
        <v>1548</v>
      </c>
      <c r="D455" s="13" t="s">
        <v>1549</v>
      </c>
      <c r="E455" s="20" t="s">
        <v>1550</v>
      </c>
      <c r="F455" s="22">
        <v>164</v>
      </c>
      <c r="G455" s="22">
        <v>0</v>
      </c>
      <c r="H455" s="27" t="s">
        <v>33</v>
      </c>
      <c r="I455" s="40" t="s">
        <v>42</v>
      </c>
      <c r="J455" s="28">
        <v>2017</v>
      </c>
      <c r="K455" s="34" t="s">
        <v>34</v>
      </c>
      <c r="L455" s="38" t="s">
        <v>1551</v>
      </c>
      <c r="M455" s="31">
        <v>9000</v>
      </c>
      <c r="N455" s="32">
        <v>0</v>
      </c>
      <c r="O455" s="21">
        <v>3000</v>
      </c>
      <c r="P455" s="21">
        <v>0</v>
      </c>
      <c r="Q455" s="21">
        <v>6000</v>
      </c>
      <c r="R455" s="23">
        <v>0</v>
      </c>
    </row>
    <row r="456" spans="1:18" x14ac:dyDescent="0.35">
      <c r="A456" s="24" t="s">
        <v>94</v>
      </c>
      <c r="B456" s="25" t="s">
        <v>123</v>
      </c>
      <c r="C456" s="36" t="s">
        <v>333</v>
      </c>
      <c r="D456" s="13" t="s">
        <v>1552</v>
      </c>
      <c r="E456" s="20" t="s">
        <v>1553</v>
      </c>
      <c r="F456" s="22">
        <v>225</v>
      </c>
      <c r="G456" s="22">
        <v>0</v>
      </c>
      <c r="H456" s="27" t="s">
        <v>33</v>
      </c>
      <c r="I456" s="40" t="s">
        <v>42</v>
      </c>
      <c r="J456" s="28">
        <v>2014</v>
      </c>
      <c r="K456" s="29" t="s">
        <v>34</v>
      </c>
      <c r="L456" s="30" t="s">
        <v>1554</v>
      </c>
      <c r="M456" s="31">
        <v>8200</v>
      </c>
      <c r="N456" s="32">
        <v>4000</v>
      </c>
      <c r="O456" s="21">
        <v>4200</v>
      </c>
      <c r="P456" s="35">
        <v>0</v>
      </c>
      <c r="Q456" s="21">
        <v>0</v>
      </c>
      <c r="R456" s="23">
        <v>0</v>
      </c>
    </row>
    <row r="457" spans="1:18" x14ac:dyDescent="0.35">
      <c r="A457" s="24" t="s">
        <v>38</v>
      </c>
      <c r="B457" s="33" t="s">
        <v>171</v>
      </c>
      <c r="C457" s="26" t="s">
        <v>1555</v>
      </c>
      <c r="D457" s="13" t="s">
        <v>1556</v>
      </c>
      <c r="E457" s="20" t="s">
        <v>1557</v>
      </c>
      <c r="F457" s="22">
        <v>50</v>
      </c>
      <c r="G457" s="22">
        <v>0</v>
      </c>
      <c r="H457" s="27" t="s">
        <v>33</v>
      </c>
      <c r="I457" s="40" t="s">
        <v>42</v>
      </c>
      <c r="J457" s="28">
        <v>2017</v>
      </c>
      <c r="K457" s="29" t="s">
        <v>34</v>
      </c>
      <c r="L457" s="30" t="s">
        <v>58</v>
      </c>
      <c r="M457" s="31">
        <v>8000</v>
      </c>
      <c r="N457" s="32">
        <v>8000</v>
      </c>
      <c r="O457" s="35">
        <v>0</v>
      </c>
      <c r="P457" s="35">
        <v>0</v>
      </c>
      <c r="Q457" s="21">
        <v>0</v>
      </c>
      <c r="R457" s="23">
        <v>0</v>
      </c>
    </row>
    <row r="458" spans="1:18" ht="10.5" customHeight="1" x14ac:dyDescent="0.35">
      <c r="A458" s="24" t="s">
        <v>38</v>
      </c>
      <c r="B458" s="33" t="s">
        <v>212</v>
      </c>
      <c r="C458" s="26" t="s">
        <v>405</v>
      </c>
      <c r="D458" s="13" t="s">
        <v>1558</v>
      </c>
      <c r="E458" s="13" t="s">
        <v>1559</v>
      </c>
      <c r="F458" s="22">
        <v>6000</v>
      </c>
      <c r="G458" s="22">
        <v>0</v>
      </c>
      <c r="H458" s="27" t="s">
        <v>33</v>
      </c>
      <c r="I458" s="40" t="s">
        <v>42</v>
      </c>
      <c r="J458" s="28">
        <v>2011</v>
      </c>
      <c r="K458" s="34" t="s">
        <v>47</v>
      </c>
      <c r="L458" s="30" t="s">
        <v>152</v>
      </c>
      <c r="M458" s="31">
        <v>120000</v>
      </c>
      <c r="N458" s="32">
        <v>0</v>
      </c>
      <c r="O458" s="21">
        <v>0</v>
      </c>
      <c r="P458" s="35">
        <v>120000</v>
      </c>
      <c r="Q458" s="21">
        <v>0</v>
      </c>
      <c r="R458" s="23">
        <v>0</v>
      </c>
    </row>
    <row r="459" spans="1:18" x14ac:dyDescent="0.35">
      <c r="A459" s="24" t="s">
        <v>30</v>
      </c>
      <c r="B459" s="33" t="s">
        <v>195</v>
      </c>
      <c r="C459" s="26" t="s">
        <v>849</v>
      </c>
      <c r="D459" s="13" t="s">
        <v>1560</v>
      </c>
      <c r="E459" s="20" t="s">
        <v>1561</v>
      </c>
      <c r="F459" s="22">
        <v>5000</v>
      </c>
      <c r="G459" s="22">
        <v>800</v>
      </c>
      <c r="H459" s="27" t="s">
        <v>52</v>
      </c>
      <c r="I459" s="40" t="s">
        <v>42</v>
      </c>
      <c r="J459" s="28">
        <v>2020</v>
      </c>
      <c r="K459" s="29" t="s">
        <v>47</v>
      </c>
      <c r="L459" s="30" t="s">
        <v>1562</v>
      </c>
      <c r="M459" s="31">
        <v>837500</v>
      </c>
      <c r="N459" s="32">
        <v>0</v>
      </c>
      <c r="O459" s="21">
        <v>0</v>
      </c>
      <c r="P459" s="35">
        <v>0</v>
      </c>
      <c r="Q459" s="21">
        <v>0</v>
      </c>
      <c r="R459" s="23">
        <v>837500</v>
      </c>
    </row>
    <row r="460" spans="1:18" x14ac:dyDescent="0.35">
      <c r="A460" s="24" t="s">
        <v>38</v>
      </c>
      <c r="B460" s="33" t="s">
        <v>39</v>
      </c>
      <c r="C460" s="26" t="s">
        <v>1563</v>
      </c>
      <c r="D460" s="13" t="s">
        <v>1564</v>
      </c>
      <c r="E460" s="13" t="s">
        <v>1565</v>
      </c>
      <c r="F460" s="22">
        <v>342</v>
      </c>
      <c r="G460" s="22">
        <v>0</v>
      </c>
      <c r="H460" s="27" t="s">
        <v>33</v>
      </c>
      <c r="I460" s="40" t="s">
        <v>42</v>
      </c>
      <c r="J460" s="28">
        <v>2013</v>
      </c>
      <c r="K460" s="29" t="s">
        <v>34</v>
      </c>
      <c r="L460" s="30" t="s">
        <v>65</v>
      </c>
      <c r="M460" s="31">
        <v>8500</v>
      </c>
      <c r="N460" s="32">
        <v>6800</v>
      </c>
      <c r="O460" s="21">
        <v>1700</v>
      </c>
      <c r="P460" s="35">
        <v>0</v>
      </c>
      <c r="Q460" s="21">
        <v>0</v>
      </c>
      <c r="R460" s="23">
        <v>0</v>
      </c>
    </row>
    <row r="461" spans="1:18" x14ac:dyDescent="0.35">
      <c r="A461" s="45" t="s">
        <v>38</v>
      </c>
      <c r="B461" s="25" t="s">
        <v>39</v>
      </c>
      <c r="C461" s="26" t="s">
        <v>1566</v>
      </c>
      <c r="D461" s="13" t="s">
        <v>1567</v>
      </c>
      <c r="E461" s="13" t="s">
        <v>1568</v>
      </c>
      <c r="F461" s="35">
        <v>118</v>
      </c>
      <c r="G461" s="22">
        <v>0</v>
      </c>
      <c r="H461" s="27" t="s">
        <v>33</v>
      </c>
      <c r="I461" s="40" t="s">
        <v>42</v>
      </c>
      <c r="J461" s="28">
        <v>2014</v>
      </c>
      <c r="K461" s="29" t="s">
        <v>34</v>
      </c>
      <c r="L461" s="30" t="s">
        <v>1569</v>
      </c>
      <c r="M461" s="31">
        <v>4600</v>
      </c>
      <c r="N461" s="32">
        <v>2500</v>
      </c>
      <c r="O461" s="35">
        <v>2100</v>
      </c>
      <c r="P461" s="21">
        <v>0</v>
      </c>
      <c r="Q461" s="21">
        <v>0</v>
      </c>
      <c r="R461" s="23">
        <v>0</v>
      </c>
    </row>
    <row r="462" spans="1:18" x14ac:dyDescent="0.35">
      <c r="A462" s="24" t="s">
        <v>44</v>
      </c>
      <c r="B462" s="25" t="s">
        <v>54</v>
      </c>
      <c r="C462" s="42" t="s">
        <v>1570</v>
      </c>
      <c r="D462" s="13" t="s">
        <v>1571</v>
      </c>
      <c r="E462" s="20" t="s">
        <v>1572</v>
      </c>
      <c r="F462" s="22">
        <v>1185</v>
      </c>
      <c r="G462" s="22">
        <v>0</v>
      </c>
      <c r="H462" s="27" t="s">
        <v>33</v>
      </c>
      <c r="I462" s="40" t="s">
        <v>42</v>
      </c>
      <c r="J462" s="28">
        <v>2013</v>
      </c>
      <c r="K462" s="29" t="s">
        <v>47</v>
      </c>
      <c r="L462" s="30" t="s">
        <v>152</v>
      </c>
      <c r="M462" s="31">
        <v>25000</v>
      </c>
      <c r="N462" s="32">
        <v>0</v>
      </c>
      <c r="O462" s="35">
        <v>0</v>
      </c>
      <c r="P462" s="21">
        <v>25000</v>
      </c>
      <c r="Q462" s="21">
        <v>0</v>
      </c>
      <c r="R462" s="23">
        <v>0</v>
      </c>
    </row>
    <row r="463" spans="1:18" x14ac:dyDescent="0.35">
      <c r="A463" s="24" t="s">
        <v>30</v>
      </c>
      <c r="B463" s="33" t="s">
        <v>31</v>
      </c>
      <c r="C463" s="26" t="s">
        <v>1573</v>
      </c>
      <c r="D463" s="13" t="s">
        <v>1573</v>
      </c>
      <c r="E463" s="20" t="s">
        <v>1574</v>
      </c>
      <c r="F463" s="22">
        <v>500</v>
      </c>
      <c r="G463" s="22">
        <v>0</v>
      </c>
      <c r="H463" s="27" t="s">
        <v>33</v>
      </c>
      <c r="I463" s="40" t="s">
        <v>42</v>
      </c>
      <c r="J463" s="28">
        <v>2016</v>
      </c>
      <c r="K463" s="29" t="s">
        <v>47</v>
      </c>
      <c r="L463" s="30" t="s">
        <v>1575</v>
      </c>
      <c r="M463" s="43">
        <v>25000</v>
      </c>
      <c r="N463" s="32">
        <v>0</v>
      </c>
      <c r="O463" s="35">
        <v>0</v>
      </c>
      <c r="P463" s="21">
        <v>0</v>
      </c>
      <c r="Q463" s="21">
        <v>0</v>
      </c>
      <c r="R463" s="23">
        <v>25000</v>
      </c>
    </row>
    <row r="464" spans="1:18" x14ac:dyDescent="0.35">
      <c r="A464" s="24" t="s">
        <v>373</v>
      </c>
      <c r="B464" s="33" t="s">
        <v>594</v>
      </c>
      <c r="C464" s="26" t="s">
        <v>1576</v>
      </c>
      <c r="D464" s="13" t="s">
        <v>1577</v>
      </c>
      <c r="E464" s="20" t="s">
        <v>1578</v>
      </c>
      <c r="F464" s="22">
        <v>475</v>
      </c>
      <c r="G464" s="22">
        <v>0</v>
      </c>
      <c r="H464" s="27" t="s">
        <v>33</v>
      </c>
      <c r="I464" s="40" t="s">
        <v>42</v>
      </c>
      <c r="J464" s="28">
        <v>2015</v>
      </c>
      <c r="K464" s="34" t="s">
        <v>34</v>
      </c>
      <c r="L464" s="30" t="s">
        <v>1579</v>
      </c>
      <c r="M464" s="31">
        <v>10000</v>
      </c>
      <c r="N464" s="32">
        <v>2000</v>
      </c>
      <c r="O464" s="35">
        <v>7000</v>
      </c>
      <c r="P464" s="21">
        <v>0</v>
      </c>
      <c r="Q464" s="21">
        <v>1000</v>
      </c>
      <c r="R464" s="23">
        <v>0</v>
      </c>
    </row>
    <row r="465" spans="1:18" x14ac:dyDescent="0.35">
      <c r="A465" s="24" t="s">
        <v>85</v>
      </c>
      <c r="B465" s="33" t="s">
        <v>252</v>
      </c>
      <c r="C465" s="26" t="s">
        <v>1000</v>
      </c>
      <c r="D465" s="13" t="s">
        <v>1580</v>
      </c>
      <c r="E465" s="20" t="s">
        <v>1581</v>
      </c>
      <c r="F465" s="22">
        <v>5000</v>
      </c>
      <c r="G465" s="22">
        <v>950</v>
      </c>
      <c r="H465" s="27" t="s">
        <v>214</v>
      </c>
      <c r="I465" s="40" t="s">
        <v>42</v>
      </c>
      <c r="J465" s="28">
        <v>2019</v>
      </c>
      <c r="K465" s="34" t="s">
        <v>47</v>
      </c>
      <c r="L465" s="30" t="s">
        <v>1443</v>
      </c>
      <c r="M465" s="31">
        <v>90000</v>
      </c>
      <c r="N465" s="32">
        <v>0</v>
      </c>
      <c r="O465" s="35">
        <v>0</v>
      </c>
      <c r="P465" s="35">
        <v>90000</v>
      </c>
      <c r="Q465" s="21">
        <v>0</v>
      </c>
      <c r="R465" s="23">
        <v>0</v>
      </c>
    </row>
    <row r="466" spans="1:18" x14ac:dyDescent="0.35">
      <c r="A466" s="24" t="s">
        <v>85</v>
      </c>
      <c r="B466" s="33" t="s">
        <v>558</v>
      </c>
      <c r="C466" s="26" t="s">
        <v>1040</v>
      </c>
      <c r="D466" s="41" t="s">
        <v>1582</v>
      </c>
      <c r="E466" s="20" t="s">
        <v>1042</v>
      </c>
      <c r="F466" s="22">
        <v>582</v>
      </c>
      <c r="G466" s="22"/>
      <c r="H466" s="27" t="s">
        <v>33</v>
      </c>
      <c r="I466" s="40" t="s">
        <v>42</v>
      </c>
      <c r="J466" s="28">
        <v>2018</v>
      </c>
      <c r="K466" s="29" t="s">
        <v>47</v>
      </c>
      <c r="L466" s="30" t="s">
        <v>1043</v>
      </c>
      <c r="M466" s="31">
        <v>20000</v>
      </c>
      <c r="N466" s="32">
        <v>20000</v>
      </c>
      <c r="O466" s="35">
        <v>0</v>
      </c>
      <c r="P466" s="21">
        <v>0</v>
      </c>
      <c r="Q466" s="21">
        <v>0</v>
      </c>
      <c r="R466" s="23">
        <v>0</v>
      </c>
    </row>
    <row r="467" spans="1:18" x14ac:dyDescent="0.35">
      <c r="A467" s="24" t="s">
        <v>63</v>
      </c>
      <c r="B467" s="33" t="s">
        <v>134</v>
      </c>
      <c r="C467" s="26" t="s">
        <v>524</v>
      </c>
      <c r="D467" s="13" t="s">
        <v>1583</v>
      </c>
      <c r="E467" s="20" t="s">
        <v>1584</v>
      </c>
      <c r="F467" s="22">
        <v>400</v>
      </c>
      <c r="G467" s="22">
        <v>650</v>
      </c>
      <c r="H467" s="27" t="s">
        <v>52</v>
      </c>
      <c r="I467" s="13" t="s">
        <v>42</v>
      </c>
      <c r="J467" s="28">
        <v>2012</v>
      </c>
      <c r="K467" s="29" t="s">
        <v>34</v>
      </c>
      <c r="L467" s="30" t="s">
        <v>1585</v>
      </c>
      <c r="M467" s="31">
        <v>41000</v>
      </c>
      <c r="N467" s="32">
        <v>0</v>
      </c>
      <c r="O467" s="21">
        <v>37000</v>
      </c>
      <c r="P467" s="21">
        <v>4000</v>
      </c>
      <c r="Q467" s="21">
        <v>0</v>
      </c>
      <c r="R467" s="23">
        <v>0</v>
      </c>
    </row>
    <row r="468" spans="1:18" x14ac:dyDescent="0.35">
      <c r="A468" s="24" t="s">
        <v>30</v>
      </c>
      <c r="B468" s="33" t="s">
        <v>80</v>
      </c>
      <c r="C468" s="26" t="s">
        <v>1586</v>
      </c>
      <c r="D468" s="13" t="s">
        <v>1587</v>
      </c>
      <c r="E468" s="20" t="s">
        <v>1588</v>
      </c>
      <c r="F468" s="22">
        <v>25</v>
      </c>
      <c r="G468" s="22">
        <v>0</v>
      </c>
      <c r="H468" s="27" t="s">
        <v>33</v>
      </c>
      <c r="I468" s="40" t="s">
        <v>42</v>
      </c>
      <c r="J468" s="28">
        <v>2012</v>
      </c>
      <c r="K468" s="34" t="s">
        <v>34</v>
      </c>
      <c r="L468" s="30" t="s">
        <v>339</v>
      </c>
      <c r="M468" s="31">
        <v>2500</v>
      </c>
      <c r="N468" s="32">
        <v>2000</v>
      </c>
      <c r="O468" s="35">
        <v>500</v>
      </c>
      <c r="P468" s="21">
        <v>0</v>
      </c>
      <c r="Q468" s="21">
        <v>0</v>
      </c>
      <c r="R468" s="23">
        <v>0</v>
      </c>
    </row>
    <row r="469" spans="1:18" ht="10.5" customHeight="1" x14ac:dyDescent="0.35">
      <c r="A469" s="24" t="s">
        <v>91</v>
      </c>
      <c r="B469" s="33" t="s">
        <v>295</v>
      </c>
      <c r="C469" s="26" t="s">
        <v>1589</v>
      </c>
      <c r="D469" s="13" t="s">
        <v>1590</v>
      </c>
      <c r="E469" s="20" t="s">
        <v>1591</v>
      </c>
      <c r="F469" s="22">
        <v>1200</v>
      </c>
      <c r="G469" s="22">
        <v>0</v>
      </c>
      <c r="H469" s="27" t="s">
        <v>33</v>
      </c>
      <c r="I469" s="40" t="s">
        <v>42</v>
      </c>
      <c r="J469" s="28">
        <v>2021</v>
      </c>
      <c r="K469" s="29" t="s">
        <v>47</v>
      </c>
      <c r="L469" s="30" t="s">
        <v>372</v>
      </c>
      <c r="M469" s="31">
        <v>25000</v>
      </c>
      <c r="N469" s="32">
        <v>0</v>
      </c>
      <c r="O469" s="35">
        <v>0</v>
      </c>
      <c r="P469" s="21">
        <v>15000</v>
      </c>
      <c r="Q469" s="21">
        <v>0</v>
      </c>
      <c r="R469" s="23">
        <v>10000</v>
      </c>
    </row>
    <row r="470" spans="1:18" x14ac:dyDescent="0.35">
      <c r="A470" s="24" t="s">
        <v>48</v>
      </c>
      <c r="B470" s="33" t="s">
        <v>440</v>
      </c>
      <c r="C470" s="26" t="s">
        <v>331</v>
      </c>
      <c r="D470" s="13" t="s">
        <v>1592</v>
      </c>
      <c r="E470" s="20" t="s">
        <v>1593</v>
      </c>
      <c r="F470" s="22">
        <v>3000</v>
      </c>
      <c r="G470" s="22">
        <v>0</v>
      </c>
      <c r="H470" s="27" t="s">
        <v>33</v>
      </c>
      <c r="I470" s="40" t="s">
        <v>42</v>
      </c>
      <c r="J470" s="28">
        <v>2015</v>
      </c>
      <c r="K470" s="34" t="s">
        <v>47</v>
      </c>
      <c r="L470" s="30" t="s">
        <v>90</v>
      </c>
      <c r="M470" s="31">
        <v>66000</v>
      </c>
      <c r="N470" s="32">
        <v>0</v>
      </c>
      <c r="O470" s="35">
        <v>0</v>
      </c>
      <c r="P470" s="21">
        <v>39000</v>
      </c>
      <c r="Q470" s="35">
        <v>0</v>
      </c>
      <c r="R470" s="23">
        <v>27000</v>
      </c>
    </row>
    <row r="471" spans="1:18" x14ac:dyDescent="0.35">
      <c r="A471" s="24" t="s">
        <v>94</v>
      </c>
      <c r="B471" s="33" t="s">
        <v>143</v>
      </c>
      <c r="C471" s="26" t="s">
        <v>1594</v>
      </c>
      <c r="D471" s="13" t="s">
        <v>1594</v>
      </c>
      <c r="E471" s="20" t="s">
        <v>1595</v>
      </c>
      <c r="F471" s="22">
        <v>50</v>
      </c>
      <c r="G471" s="22">
        <v>0</v>
      </c>
      <c r="H471" s="27" t="s">
        <v>33</v>
      </c>
      <c r="I471" s="40" t="s">
        <v>42</v>
      </c>
      <c r="J471" s="28">
        <v>2011</v>
      </c>
      <c r="K471" s="29" t="s">
        <v>34</v>
      </c>
      <c r="L471" s="30" t="s">
        <v>179</v>
      </c>
      <c r="M471" s="31">
        <v>8000</v>
      </c>
      <c r="N471" s="32">
        <v>6400</v>
      </c>
      <c r="O471" s="35">
        <v>1600</v>
      </c>
      <c r="P471" s="21">
        <v>0</v>
      </c>
      <c r="Q471" s="21">
        <v>0</v>
      </c>
      <c r="R471" s="23">
        <v>0</v>
      </c>
    </row>
    <row r="472" spans="1:18" x14ac:dyDescent="0.35">
      <c r="A472" s="45" t="s">
        <v>63</v>
      </c>
      <c r="B472" s="33" t="s">
        <v>382</v>
      </c>
      <c r="C472" s="26" t="s">
        <v>258</v>
      </c>
      <c r="D472" s="13" t="s">
        <v>2116</v>
      </c>
      <c r="E472" s="20" t="s">
        <v>980</v>
      </c>
      <c r="F472" s="22">
        <v>1100</v>
      </c>
      <c r="G472" s="22">
        <v>0</v>
      </c>
      <c r="H472" s="27" t="s">
        <v>33</v>
      </c>
      <c r="I472" s="40" t="s">
        <v>42</v>
      </c>
      <c r="J472" s="28">
        <v>2015</v>
      </c>
      <c r="K472" s="29" t="s">
        <v>34</v>
      </c>
      <c r="L472" s="30" t="s">
        <v>43</v>
      </c>
      <c r="M472" s="31">
        <v>14000</v>
      </c>
      <c r="N472" s="32">
        <v>5000</v>
      </c>
      <c r="O472" s="21">
        <v>9000</v>
      </c>
      <c r="P472" s="21">
        <v>0</v>
      </c>
      <c r="Q472" s="21">
        <v>0</v>
      </c>
      <c r="R472" s="23">
        <v>0</v>
      </c>
    </row>
    <row r="473" spans="1:18" x14ac:dyDescent="0.35">
      <c r="A473" s="24" t="s">
        <v>48</v>
      </c>
      <c r="B473" s="33" t="s">
        <v>210</v>
      </c>
      <c r="C473" s="26" t="s">
        <v>1596</v>
      </c>
      <c r="D473" s="13" t="s">
        <v>1596</v>
      </c>
      <c r="E473" s="13" t="s">
        <v>1597</v>
      </c>
      <c r="F473" s="22">
        <v>4571</v>
      </c>
      <c r="G473" s="22">
        <v>0</v>
      </c>
      <c r="H473" s="27" t="s">
        <v>33</v>
      </c>
      <c r="I473" s="40" t="s">
        <v>42</v>
      </c>
      <c r="J473" s="28">
        <v>2015</v>
      </c>
      <c r="K473" s="29" t="s">
        <v>34</v>
      </c>
      <c r="L473" s="30" t="s">
        <v>267</v>
      </c>
      <c r="M473" s="31">
        <v>75000</v>
      </c>
      <c r="N473" s="32">
        <v>0</v>
      </c>
      <c r="O473" s="35">
        <v>55000</v>
      </c>
      <c r="P473" s="21">
        <v>0</v>
      </c>
      <c r="Q473" s="21">
        <v>20000</v>
      </c>
      <c r="R473" s="23">
        <v>0</v>
      </c>
    </row>
    <row r="474" spans="1:18" x14ac:dyDescent="0.35">
      <c r="A474" s="24" t="s">
        <v>85</v>
      </c>
      <c r="B474" s="33" t="s">
        <v>209</v>
      </c>
      <c r="C474" s="26" t="s">
        <v>2086</v>
      </c>
      <c r="D474" s="13" t="s">
        <v>1600</v>
      </c>
      <c r="E474" s="20" t="s">
        <v>1601</v>
      </c>
      <c r="F474" s="22">
        <v>5000</v>
      </c>
      <c r="G474" s="22">
        <v>1100</v>
      </c>
      <c r="H474" s="27" t="s">
        <v>52</v>
      </c>
      <c r="I474" s="40" t="s">
        <v>42</v>
      </c>
      <c r="J474" s="28">
        <v>2011</v>
      </c>
      <c r="K474" s="29" t="s">
        <v>47</v>
      </c>
      <c r="L474" s="30" t="s">
        <v>152</v>
      </c>
      <c r="M474" s="31">
        <v>160000</v>
      </c>
      <c r="N474" s="32">
        <v>0</v>
      </c>
      <c r="O474" s="35">
        <v>0</v>
      </c>
      <c r="P474" s="21">
        <v>160000</v>
      </c>
      <c r="Q474" s="21">
        <v>0</v>
      </c>
      <c r="R474" s="23">
        <v>0</v>
      </c>
    </row>
    <row r="475" spans="1:18" ht="10.5" customHeight="1" x14ac:dyDescent="0.35">
      <c r="A475" s="24" t="s">
        <v>94</v>
      </c>
      <c r="B475" s="33" t="s">
        <v>143</v>
      </c>
      <c r="C475" s="26" t="s">
        <v>1256</v>
      </c>
      <c r="D475" s="13" t="s">
        <v>1602</v>
      </c>
      <c r="E475" s="20" t="s">
        <v>1603</v>
      </c>
      <c r="F475" s="22">
        <v>500</v>
      </c>
      <c r="G475" s="22">
        <v>1100</v>
      </c>
      <c r="H475" s="27" t="s">
        <v>52</v>
      </c>
      <c r="I475" s="40" t="s">
        <v>42</v>
      </c>
      <c r="J475" s="28">
        <v>2014</v>
      </c>
      <c r="K475" s="34" t="s">
        <v>47</v>
      </c>
      <c r="L475" s="30" t="s">
        <v>152</v>
      </c>
      <c r="M475" s="31">
        <v>160000</v>
      </c>
      <c r="N475" s="32">
        <v>0</v>
      </c>
      <c r="O475" s="35">
        <v>0</v>
      </c>
      <c r="P475" s="21">
        <v>160000</v>
      </c>
      <c r="Q475" s="21">
        <v>0</v>
      </c>
      <c r="R475" s="23">
        <v>0</v>
      </c>
    </row>
    <row r="476" spans="1:18" x14ac:dyDescent="0.35">
      <c r="A476" s="24" t="s">
        <v>48</v>
      </c>
      <c r="B476" s="33" t="s">
        <v>49</v>
      </c>
      <c r="C476" s="26" t="s">
        <v>1604</v>
      </c>
      <c r="D476" s="13" t="s">
        <v>1605</v>
      </c>
      <c r="E476" s="20" t="s">
        <v>1606</v>
      </c>
      <c r="F476" s="22">
        <v>0</v>
      </c>
      <c r="G476" s="22">
        <v>0</v>
      </c>
      <c r="H476" s="27" t="s">
        <v>214</v>
      </c>
      <c r="I476" s="40" t="s">
        <v>42</v>
      </c>
      <c r="J476" s="28">
        <v>2010</v>
      </c>
      <c r="K476" s="29" t="s">
        <v>47</v>
      </c>
      <c r="L476" s="30" t="s">
        <v>152</v>
      </c>
      <c r="M476" s="31">
        <v>12500</v>
      </c>
      <c r="N476" s="32">
        <v>0</v>
      </c>
      <c r="O476" s="35">
        <v>0</v>
      </c>
      <c r="P476" s="21">
        <v>12500</v>
      </c>
      <c r="Q476" s="21">
        <v>0</v>
      </c>
      <c r="R476" s="23">
        <v>0</v>
      </c>
    </row>
    <row r="477" spans="1:18" x14ac:dyDescent="0.35">
      <c r="A477" s="24" t="s">
        <v>100</v>
      </c>
      <c r="B477" s="33" t="s">
        <v>118</v>
      </c>
      <c r="C477" s="26" t="s">
        <v>1607</v>
      </c>
      <c r="D477" s="13" t="s">
        <v>1608</v>
      </c>
      <c r="E477" s="20" t="s">
        <v>1609</v>
      </c>
      <c r="F477" s="22">
        <v>90</v>
      </c>
      <c r="G477" s="22">
        <v>0</v>
      </c>
      <c r="H477" s="27" t="s">
        <v>33</v>
      </c>
      <c r="I477" s="40" t="s">
        <v>42</v>
      </c>
      <c r="J477" s="28">
        <v>2016</v>
      </c>
      <c r="K477" s="29" t="s">
        <v>34</v>
      </c>
      <c r="L477" s="30" t="s">
        <v>522</v>
      </c>
      <c r="M477" s="31">
        <v>4000</v>
      </c>
      <c r="N477" s="32">
        <v>4000</v>
      </c>
      <c r="O477" s="35">
        <v>0</v>
      </c>
      <c r="P477" s="21">
        <v>0</v>
      </c>
      <c r="Q477" s="35">
        <v>0</v>
      </c>
      <c r="R477" s="23">
        <v>0</v>
      </c>
    </row>
    <row r="478" spans="1:18" x14ac:dyDescent="0.35">
      <c r="A478" s="24" t="s">
        <v>100</v>
      </c>
      <c r="B478" s="33" t="s">
        <v>101</v>
      </c>
      <c r="C478" s="26" t="s">
        <v>1610</v>
      </c>
      <c r="D478" s="13" t="s">
        <v>1611</v>
      </c>
      <c r="E478" s="20" t="s">
        <v>1612</v>
      </c>
      <c r="F478" s="22">
        <v>82</v>
      </c>
      <c r="G478" s="22">
        <v>0</v>
      </c>
      <c r="H478" s="27" t="s">
        <v>33</v>
      </c>
      <c r="I478" s="40" t="s">
        <v>42</v>
      </c>
      <c r="J478" s="28">
        <v>2017</v>
      </c>
      <c r="K478" s="29" t="s">
        <v>34</v>
      </c>
      <c r="L478" s="30" t="s">
        <v>522</v>
      </c>
      <c r="M478" s="31">
        <v>3500</v>
      </c>
      <c r="N478" s="32">
        <v>3500</v>
      </c>
      <c r="O478" s="35">
        <v>0</v>
      </c>
      <c r="P478" s="21">
        <v>0</v>
      </c>
      <c r="Q478" s="21">
        <v>0</v>
      </c>
      <c r="R478" s="23">
        <v>0</v>
      </c>
    </row>
    <row r="479" spans="1:18" ht="10.5" customHeight="1" x14ac:dyDescent="0.35">
      <c r="A479" s="24" t="s">
        <v>85</v>
      </c>
      <c r="B479" s="33" t="s">
        <v>558</v>
      </c>
      <c r="C479" s="26" t="s">
        <v>2083</v>
      </c>
      <c r="D479" s="13" t="s">
        <v>1613</v>
      </c>
      <c r="E479" s="13" t="s">
        <v>1614</v>
      </c>
      <c r="F479" s="22">
        <v>360</v>
      </c>
      <c r="G479" s="22">
        <v>600</v>
      </c>
      <c r="H479" s="27" t="s">
        <v>52</v>
      </c>
      <c r="I479" s="40" t="s">
        <v>42</v>
      </c>
      <c r="J479" s="28">
        <v>2016</v>
      </c>
      <c r="K479" s="34" t="s">
        <v>34</v>
      </c>
      <c r="L479" s="30" t="s">
        <v>1615</v>
      </c>
      <c r="M479" s="31">
        <v>36000</v>
      </c>
      <c r="N479" s="32">
        <v>0</v>
      </c>
      <c r="O479" s="35">
        <v>36000</v>
      </c>
      <c r="P479" s="21">
        <v>0</v>
      </c>
      <c r="Q479" s="21">
        <v>0</v>
      </c>
      <c r="R479" s="23">
        <v>0</v>
      </c>
    </row>
    <row r="480" spans="1:18" x14ac:dyDescent="0.35">
      <c r="A480" s="24" t="s">
        <v>91</v>
      </c>
      <c r="B480" s="33" t="s">
        <v>261</v>
      </c>
      <c r="C480" s="26" t="s">
        <v>1616</v>
      </c>
      <c r="D480" s="13" t="s">
        <v>1617</v>
      </c>
      <c r="E480" s="20" t="s">
        <v>1618</v>
      </c>
      <c r="F480" s="22">
        <v>488</v>
      </c>
      <c r="G480" s="22">
        <v>550</v>
      </c>
      <c r="H480" s="27" t="s">
        <v>52</v>
      </c>
      <c r="I480" s="40" t="s">
        <v>42</v>
      </c>
      <c r="J480" s="28">
        <v>2013</v>
      </c>
      <c r="K480" s="34" t="s">
        <v>47</v>
      </c>
      <c r="L480" s="38" t="s">
        <v>152</v>
      </c>
      <c r="M480" s="31">
        <v>100000</v>
      </c>
      <c r="N480" s="32">
        <v>0</v>
      </c>
      <c r="O480" s="35">
        <v>0</v>
      </c>
      <c r="P480" s="21">
        <v>100000</v>
      </c>
      <c r="Q480" s="35">
        <v>0</v>
      </c>
      <c r="R480" s="23">
        <v>0</v>
      </c>
    </row>
    <row r="481" spans="1:18" x14ac:dyDescent="0.35">
      <c r="A481" s="24" t="s">
        <v>44</v>
      </c>
      <c r="B481" s="33" t="s">
        <v>45</v>
      </c>
      <c r="C481" s="26" t="s">
        <v>680</v>
      </c>
      <c r="D481" s="13" t="s">
        <v>1619</v>
      </c>
      <c r="E481" s="20" t="s">
        <v>1620</v>
      </c>
      <c r="F481" s="22">
        <v>500</v>
      </c>
      <c r="G481" s="22">
        <v>0</v>
      </c>
      <c r="H481" s="27" t="s">
        <v>33</v>
      </c>
      <c r="I481" s="40" t="s">
        <v>42</v>
      </c>
      <c r="J481" s="28">
        <v>2015</v>
      </c>
      <c r="K481" s="29" t="s">
        <v>34</v>
      </c>
      <c r="L481" s="30" t="s">
        <v>412</v>
      </c>
      <c r="M481" s="31">
        <v>18000</v>
      </c>
      <c r="N481" s="32">
        <v>4000</v>
      </c>
      <c r="O481" s="35">
        <v>14000</v>
      </c>
      <c r="P481" s="21">
        <v>0</v>
      </c>
      <c r="Q481" s="35">
        <v>0</v>
      </c>
      <c r="R481" s="23">
        <v>0</v>
      </c>
    </row>
    <row r="482" spans="1:18" x14ac:dyDescent="0.35">
      <c r="A482" s="24" t="s">
        <v>100</v>
      </c>
      <c r="B482" s="25" t="s">
        <v>118</v>
      </c>
      <c r="C482" s="36" t="s">
        <v>1621</v>
      </c>
      <c r="D482" s="13" t="s">
        <v>1622</v>
      </c>
      <c r="E482" s="20" t="s">
        <v>1623</v>
      </c>
      <c r="F482" s="22">
        <v>484</v>
      </c>
      <c r="G482" s="22">
        <v>0</v>
      </c>
      <c r="H482" s="27" t="s">
        <v>33</v>
      </c>
      <c r="I482" s="40" t="s">
        <v>42</v>
      </c>
      <c r="J482" s="28">
        <v>2011</v>
      </c>
      <c r="K482" s="29" t="s">
        <v>47</v>
      </c>
      <c r="L482" s="30" t="s">
        <v>1624</v>
      </c>
      <c r="M482" s="31">
        <v>20800</v>
      </c>
      <c r="N482" s="32">
        <v>0</v>
      </c>
      <c r="O482" s="21">
        <v>0</v>
      </c>
      <c r="P482" s="21">
        <v>5850</v>
      </c>
      <c r="Q482" s="21">
        <v>5330</v>
      </c>
      <c r="R482" s="23">
        <v>9620</v>
      </c>
    </row>
    <row r="483" spans="1:18" x14ac:dyDescent="0.35">
      <c r="A483" s="24" t="s">
        <v>63</v>
      </c>
      <c r="B483" s="33" t="s">
        <v>64</v>
      </c>
      <c r="C483" s="26" t="s">
        <v>1625</v>
      </c>
      <c r="D483" s="13" t="s">
        <v>1625</v>
      </c>
      <c r="E483" s="20" t="s">
        <v>1626</v>
      </c>
      <c r="F483" s="22">
        <v>485</v>
      </c>
      <c r="G483" s="22">
        <v>0</v>
      </c>
      <c r="H483" s="27" t="s">
        <v>33</v>
      </c>
      <c r="I483" s="40" t="s">
        <v>42</v>
      </c>
      <c r="J483" s="28">
        <v>2013</v>
      </c>
      <c r="K483" s="29" t="s">
        <v>47</v>
      </c>
      <c r="L483" s="30" t="s">
        <v>1627</v>
      </c>
      <c r="M483" s="31">
        <v>35000</v>
      </c>
      <c r="N483" s="32">
        <v>0</v>
      </c>
      <c r="O483" s="35">
        <v>7500</v>
      </c>
      <c r="P483" s="21">
        <v>20000</v>
      </c>
      <c r="Q483" s="21">
        <v>0</v>
      </c>
      <c r="R483" s="23">
        <v>7500</v>
      </c>
    </row>
    <row r="484" spans="1:18" ht="10.5" customHeight="1" x14ac:dyDescent="0.35">
      <c r="A484" s="24" t="s">
        <v>85</v>
      </c>
      <c r="B484" s="33" t="s">
        <v>86</v>
      </c>
      <c r="C484" s="26" t="s">
        <v>1628</v>
      </c>
      <c r="D484" s="13" t="s">
        <v>1629</v>
      </c>
      <c r="E484" s="20" t="s">
        <v>1630</v>
      </c>
      <c r="F484" s="22">
        <v>100</v>
      </c>
      <c r="G484" s="22">
        <v>0</v>
      </c>
      <c r="H484" s="27" t="s">
        <v>33</v>
      </c>
      <c r="I484" s="40" t="s">
        <v>42</v>
      </c>
      <c r="J484" s="28" t="s">
        <v>93</v>
      </c>
      <c r="K484" s="29" t="s">
        <v>34</v>
      </c>
      <c r="L484" s="30" t="s">
        <v>1631</v>
      </c>
      <c r="M484" s="31">
        <v>4000</v>
      </c>
      <c r="N484" s="32">
        <v>3800</v>
      </c>
      <c r="O484" s="35">
        <v>200</v>
      </c>
      <c r="P484" s="21">
        <v>0</v>
      </c>
      <c r="Q484" s="35">
        <v>0</v>
      </c>
      <c r="R484" s="23">
        <v>0</v>
      </c>
    </row>
    <row r="485" spans="1:18" x14ac:dyDescent="0.35">
      <c r="A485" s="24" t="s">
        <v>30</v>
      </c>
      <c r="B485" s="33" t="s">
        <v>195</v>
      </c>
      <c r="C485" s="26" t="s">
        <v>458</v>
      </c>
      <c r="D485" s="13" t="s">
        <v>1632</v>
      </c>
      <c r="E485" s="20" t="s">
        <v>1633</v>
      </c>
      <c r="F485" s="22">
        <v>500</v>
      </c>
      <c r="G485" s="22">
        <v>0</v>
      </c>
      <c r="H485" s="27" t="s">
        <v>33</v>
      </c>
      <c r="I485" s="40" t="s">
        <v>42</v>
      </c>
      <c r="J485" s="28">
        <v>2010</v>
      </c>
      <c r="K485" s="34" t="s">
        <v>47</v>
      </c>
      <c r="L485" s="30" t="s">
        <v>461</v>
      </c>
      <c r="M485" s="31">
        <v>47450</v>
      </c>
      <c r="N485" s="32">
        <v>0</v>
      </c>
      <c r="O485" s="21">
        <v>0</v>
      </c>
      <c r="P485" s="21">
        <v>0</v>
      </c>
      <c r="Q485" s="21">
        <v>0</v>
      </c>
      <c r="R485" s="23">
        <v>47450</v>
      </c>
    </row>
    <row r="486" spans="1:18" x14ac:dyDescent="0.35">
      <c r="A486" s="24" t="s">
        <v>85</v>
      </c>
      <c r="B486" s="33" t="s">
        <v>86</v>
      </c>
      <c r="C486" s="26" t="s">
        <v>1636</v>
      </c>
      <c r="D486" s="13" t="s">
        <v>1637</v>
      </c>
      <c r="E486" s="20" t="s">
        <v>2159</v>
      </c>
      <c r="F486" s="22">
        <v>237</v>
      </c>
      <c r="G486" s="22">
        <v>0</v>
      </c>
      <c r="H486" s="27" t="s">
        <v>33</v>
      </c>
      <c r="I486" s="40" t="s">
        <v>42</v>
      </c>
      <c r="J486" s="28">
        <v>2014</v>
      </c>
      <c r="K486" s="29" t="s">
        <v>47</v>
      </c>
      <c r="L486" s="30" t="s">
        <v>1638</v>
      </c>
      <c r="M486" s="31">
        <v>6500</v>
      </c>
      <c r="N486" s="32">
        <v>0</v>
      </c>
      <c r="O486" s="35">
        <v>2500</v>
      </c>
      <c r="P486" s="21">
        <v>4000</v>
      </c>
      <c r="Q486" s="21">
        <v>0</v>
      </c>
      <c r="R486" s="23">
        <v>0</v>
      </c>
    </row>
    <row r="487" spans="1:18" x14ac:dyDescent="0.35">
      <c r="A487" s="24" t="s">
        <v>38</v>
      </c>
      <c r="B487" s="33" t="s">
        <v>285</v>
      </c>
      <c r="C487" s="26" t="s">
        <v>1639</v>
      </c>
      <c r="D487" s="13" t="s">
        <v>1640</v>
      </c>
      <c r="E487" s="20" t="s">
        <v>1641</v>
      </c>
      <c r="F487" s="22">
        <v>482</v>
      </c>
      <c r="G487" s="22">
        <v>990.00000000000011</v>
      </c>
      <c r="H487" s="27" t="s">
        <v>52</v>
      </c>
      <c r="I487" s="40" t="s">
        <v>42</v>
      </c>
      <c r="J487" s="28">
        <v>2014</v>
      </c>
      <c r="K487" s="29" t="s">
        <v>34</v>
      </c>
      <c r="L487" s="30" t="s">
        <v>1642</v>
      </c>
      <c r="M487" s="31">
        <v>17600</v>
      </c>
      <c r="N487" s="32">
        <v>4400</v>
      </c>
      <c r="O487" s="35">
        <v>13200</v>
      </c>
      <c r="P487" s="21">
        <v>0</v>
      </c>
      <c r="Q487" s="21">
        <v>0</v>
      </c>
      <c r="R487" s="23">
        <v>0</v>
      </c>
    </row>
    <row r="488" spans="1:18" x14ac:dyDescent="0.35">
      <c r="A488" s="24" t="s">
        <v>94</v>
      </c>
      <c r="B488" s="33" t="s">
        <v>371</v>
      </c>
      <c r="C488" s="26" t="s">
        <v>1130</v>
      </c>
      <c r="D488" s="13" t="s">
        <v>1643</v>
      </c>
      <c r="E488" s="20" t="s">
        <v>1644</v>
      </c>
      <c r="F488" s="22">
        <v>500</v>
      </c>
      <c r="G488" s="22">
        <v>0</v>
      </c>
      <c r="H488" s="27" t="s">
        <v>33</v>
      </c>
      <c r="I488" s="40" t="s">
        <v>42</v>
      </c>
      <c r="J488" s="28">
        <v>2005</v>
      </c>
      <c r="K488" s="29" t="s">
        <v>47</v>
      </c>
      <c r="L488" s="30" t="s">
        <v>461</v>
      </c>
      <c r="M488" s="31">
        <v>10000</v>
      </c>
      <c r="N488" s="32">
        <v>0</v>
      </c>
      <c r="O488" s="35">
        <v>0</v>
      </c>
      <c r="P488" s="21">
        <v>0</v>
      </c>
      <c r="Q488" s="21">
        <v>0</v>
      </c>
      <c r="R488" s="23">
        <v>10000</v>
      </c>
    </row>
    <row r="489" spans="1:18" x14ac:dyDescent="0.35">
      <c r="A489" s="24" t="s">
        <v>63</v>
      </c>
      <c r="B489" s="33" t="s">
        <v>257</v>
      </c>
      <c r="C489" s="26" t="s">
        <v>1941</v>
      </c>
      <c r="D489" s="20" t="s">
        <v>2100</v>
      </c>
      <c r="E489" s="20" t="s">
        <v>1645</v>
      </c>
      <c r="F489" s="22">
        <v>484</v>
      </c>
      <c r="G489" s="22">
        <v>0</v>
      </c>
      <c r="H489" s="27" t="s">
        <v>33</v>
      </c>
      <c r="I489" s="40" t="s">
        <v>42</v>
      </c>
      <c r="J489" s="28">
        <v>2015</v>
      </c>
      <c r="K489" s="34" t="s">
        <v>34</v>
      </c>
      <c r="L489" s="38" t="s">
        <v>1646</v>
      </c>
      <c r="M489" s="31">
        <v>35000</v>
      </c>
      <c r="N489" s="32">
        <v>33500</v>
      </c>
      <c r="O489" s="35">
        <v>0</v>
      </c>
      <c r="P489" s="21">
        <v>0</v>
      </c>
      <c r="Q489" s="35">
        <v>1500</v>
      </c>
      <c r="R489" s="23">
        <v>0</v>
      </c>
    </row>
    <row r="490" spans="1:18" x14ac:dyDescent="0.35">
      <c r="A490" s="24" t="s">
        <v>85</v>
      </c>
      <c r="B490" s="33" t="s">
        <v>252</v>
      </c>
      <c r="C490" s="26" t="s">
        <v>1647</v>
      </c>
      <c r="D490" s="13" t="s">
        <v>1648</v>
      </c>
      <c r="E490" s="20" t="s">
        <v>1649</v>
      </c>
      <c r="F490" s="22">
        <v>3176</v>
      </c>
      <c r="G490" s="22">
        <v>850</v>
      </c>
      <c r="H490" s="27" t="s">
        <v>52</v>
      </c>
      <c r="I490" s="40" t="s">
        <v>42</v>
      </c>
      <c r="J490" s="28">
        <v>2011</v>
      </c>
      <c r="K490" s="29" t="s">
        <v>47</v>
      </c>
      <c r="L490" s="30" t="s">
        <v>152</v>
      </c>
      <c r="M490" s="31">
        <v>50000</v>
      </c>
      <c r="N490" s="32">
        <v>0</v>
      </c>
      <c r="O490" s="35">
        <v>0</v>
      </c>
      <c r="P490" s="21">
        <v>50000</v>
      </c>
      <c r="Q490" s="21">
        <v>0</v>
      </c>
      <c r="R490" s="23">
        <v>0</v>
      </c>
    </row>
    <row r="491" spans="1:18" x14ac:dyDescent="0.35">
      <c r="A491" s="24" t="s">
        <v>30</v>
      </c>
      <c r="B491" s="33" t="s">
        <v>2082</v>
      </c>
      <c r="C491" s="26" t="s">
        <v>359</v>
      </c>
      <c r="D491" s="13" t="s">
        <v>2126</v>
      </c>
      <c r="E491" s="20" t="s">
        <v>1650</v>
      </c>
      <c r="F491" s="22">
        <v>250</v>
      </c>
      <c r="G491" s="22">
        <v>600</v>
      </c>
      <c r="H491" s="27" t="s">
        <v>52</v>
      </c>
      <c r="I491" s="40" t="s">
        <v>42</v>
      </c>
      <c r="J491" s="28">
        <v>2016</v>
      </c>
      <c r="K491" s="34" t="s">
        <v>34</v>
      </c>
      <c r="L491" s="30" t="s">
        <v>1651</v>
      </c>
      <c r="M491" s="31">
        <v>40000</v>
      </c>
      <c r="N491" s="32">
        <v>10000</v>
      </c>
      <c r="O491" s="35">
        <v>30000</v>
      </c>
      <c r="P491" s="21">
        <v>0</v>
      </c>
      <c r="Q491" s="21">
        <v>0</v>
      </c>
      <c r="R491" s="23">
        <v>0</v>
      </c>
    </row>
    <row r="492" spans="1:18" ht="10.5" customHeight="1" x14ac:dyDescent="0.35">
      <c r="A492" s="24" t="s">
        <v>91</v>
      </c>
      <c r="B492" s="33" t="s">
        <v>383</v>
      </c>
      <c r="C492" s="26" t="s">
        <v>979</v>
      </c>
      <c r="D492" s="13" t="s">
        <v>1652</v>
      </c>
      <c r="E492" s="20" t="s">
        <v>1653</v>
      </c>
      <c r="F492" s="22">
        <v>1100</v>
      </c>
      <c r="G492" s="22">
        <v>0</v>
      </c>
      <c r="H492" s="27" t="s">
        <v>33</v>
      </c>
      <c r="I492" s="40" t="s">
        <v>42</v>
      </c>
      <c r="J492" s="28">
        <v>2010</v>
      </c>
      <c r="K492" s="34" t="s">
        <v>34</v>
      </c>
      <c r="L492" s="30" t="s">
        <v>1654</v>
      </c>
      <c r="M492" s="31">
        <v>26000</v>
      </c>
      <c r="N492" s="32">
        <v>2000</v>
      </c>
      <c r="O492" s="35">
        <v>0</v>
      </c>
      <c r="P492" s="21">
        <v>0</v>
      </c>
      <c r="Q492" s="21">
        <v>24000</v>
      </c>
      <c r="R492" s="23">
        <v>0</v>
      </c>
    </row>
    <row r="493" spans="1:18" x14ac:dyDescent="0.35">
      <c r="A493" s="24" t="s">
        <v>44</v>
      </c>
      <c r="B493" s="33" t="s">
        <v>45</v>
      </c>
      <c r="C493" s="26" t="s">
        <v>1655</v>
      </c>
      <c r="D493" s="13" t="s">
        <v>1656</v>
      </c>
      <c r="E493" s="20" t="s">
        <v>1657</v>
      </c>
      <c r="F493" s="22">
        <v>500</v>
      </c>
      <c r="G493" s="22">
        <v>0</v>
      </c>
      <c r="H493" s="27" t="s">
        <v>33</v>
      </c>
      <c r="I493" s="40" t="s">
        <v>42</v>
      </c>
      <c r="J493" s="28">
        <v>2015</v>
      </c>
      <c r="K493" s="29" t="s">
        <v>34</v>
      </c>
      <c r="L493" s="30" t="s">
        <v>117</v>
      </c>
      <c r="M493" s="31">
        <v>16875</v>
      </c>
      <c r="N493" s="32">
        <v>3900</v>
      </c>
      <c r="O493" s="35">
        <v>12975</v>
      </c>
      <c r="P493" s="21">
        <v>0</v>
      </c>
      <c r="Q493" s="21">
        <v>0</v>
      </c>
      <c r="R493" s="23">
        <v>0</v>
      </c>
    </row>
    <row r="494" spans="1:18" x14ac:dyDescent="0.35">
      <c r="A494" s="24" t="s">
        <v>63</v>
      </c>
      <c r="B494" s="33" t="s">
        <v>205</v>
      </c>
      <c r="C494" s="26" t="s">
        <v>1658</v>
      </c>
      <c r="D494" s="13" t="s">
        <v>1659</v>
      </c>
      <c r="E494" s="20" t="s">
        <v>1660</v>
      </c>
      <c r="F494" s="22">
        <v>850</v>
      </c>
      <c r="G494" s="22">
        <v>0</v>
      </c>
      <c r="H494" s="27" t="s">
        <v>33</v>
      </c>
      <c r="I494" s="40" t="s">
        <v>42</v>
      </c>
      <c r="J494" s="28">
        <v>2012</v>
      </c>
      <c r="K494" s="29" t="s">
        <v>47</v>
      </c>
      <c r="L494" s="30" t="s">
        <v>461</v>
      </c>
      <c r="M494" s="31">
        <v>22000</v>
      </c>
      <c r="N494" s="32">
        <v>0</v>
      </c>
      <c r="O494" s="35">
        <v>0</v>
      </c>
      <c r="P494" s="21">
        <v>0</v>
      </c>
      <c r="Q494" s="35">
        <v>0</v>
      </c>
      <c r="R494" s="23">
        <v>22000</v>
      </c>
    </row>
    <row r="495" spans="1:18" x14ac:dyDescent="0.35">
      <c r="A495" s="24" t="s">
        <v>85</v>
      </c>
      <c r="B495" s="33" t="s">
        <v>86</v>
      </c>
      <c r="C495" s="26" t="s">
        <v>474</v>
      </c>
      <c r="D495" s="13" t="s">
        <v>1661</v>
      </c>
      <c r="E495" s="20" t="s">
        <v>1662</v>
      </c>
      <c r="F495" s="22">
        <v>250</v>
      </c>
      <c r="G495" s="22">
        <v>800</v>
      </c>
      <c r="H495" s="27" t="s">
        <v>52</v>
      </c>
      <c r="I495" s="40" t="s">
        <v>42</v>
      </c>
      <c r="J495" s="28">
        <v>2018</v>
      </c>
      <c r="K495" s="29" t="s">
        <v>47</v>
      </c>
      <c r="L495" s="30" t="s">
        <v>152</v>
      </c>
      <c r="M495" s="31">
        <v>65000</v>
      </c>
      <c r="N495" s="32">
        <v>0</v>
      </c>
      <c r="O495" s="35">
        <v>0</v>
      </c>
      <c r="P495" s="21">
        <v>65000</v>
      </c>
      <c r="Q495" s="21">
        <v>0</v>
      </c>
      <c r="R495" s="23">
        <v>0</v>
      </c>
    </row>
    <row r="496" spans="1:18" x14ac:dyDescent="0.35">
      <c r="A496" s="24" t="s">
        <v>91</v>
      </c>
      <c r="B496" s="33" t="s">
        <v>295</v>
      </c>
      <c r="C496" s="26" t="s">
        <v>275</v>
      </c>
      <c r="D496" s="13" t="s">
        <v>1663</v>
      </c>
      <c r="E496" s="20" t="s">
        <v>1664</v>
      </c>
      <c r="F496" s="22">
        <v>500</v>
      </c>
      <c r="G496" s="22">
        <v>500</v>
      </c>
      <c r="H496" s="27" t="s">
        <v>52</v>
      </c>
      <c r="I496" s="40" t="s">
        <v>42</v>
      </c>
      <c r="J496" s="28">
        <v>2020</v>
      </c>
      <c r="K496" s="34" t="s">
        <v>34</v>
      </c>
      <c r="L496" s="30" t="s">
        <v>1665</v>
      </c>
      <c r="M496" s="31">
        <v>53500</v>
      </c>
      <c r="N496" s="32">
        <v>0</v>
      </c>
      <c r="O496" s="35">
        <v>12800</v>
      </c>
      <c r="P496" s="21">
        <v>0</v>
      </c>
      <c r="Q496" s="21">
        <v>13000</v>
      </c>
      <c r="R496" s="23">
        <v>0</v>
      </c>
    </row>
    <row r="497" spans="1:18" x14ac:dyDescent="0.35">
      <c r="A497" s="24" t="s">
        <v>85</v>
      </c>
      <c r="B497" s="33" t="s">
        <v>330</v>
      </c>
      <c r="C497" s="26" t="s">
        <v>2088</v>
      </c>
      <c r="D497" s="13" t="s">
        <v>1155</v>
      </c>
      <c r="E497" s="20" t="s">
        <v>1666</v>
      </c>
      <c r="F497" s="22">
        <v>480</v>
      </c>
      <c r="G497" s="22">
        <v>0</v>
      </c>
      <c r="H497" s="27" t="s">
        <v>33</v>
      </c>
      <c r="I497" s="40" t="s">
        <v>42</v>
      </c>
      <c r="J497" s="28">
        <v>2014</v>
      </c>
      <c r="K497" s="29" t="s">
        <v>34</v>
      </c>
      <c r="L497" s="30" t="s">
        <v>1667</v>
      </c>
      <c r="M497" s="31">
        <v>30000</v>
      </c>
      <c r="N497" s="32">
        <v>10000</v>
      </c>
      <c r="O497" s="35">
        <v>20000</v>
      </c>
      <c r="P497" s="21">
        <v>0</v>
      </c>
      <c r="Q497" s="35">
        <v>0</v>
      </c>
      <c r="R497" s="23">
        <v>0</v>
      </c>
    </row>
    <row r="498" spans="1:18" x14ac:dyDescent="0.35">
      <c r="A498" s="24" t="s">
        <v>30</v>
      </c>
      <c r="B498" s="33" t="s">
        <v>1668</v>
      </c>
      <c r="C498" s="26" t="s">
        <v>1669</v>
      </c>
      <c r="D498" s="13" t="s">
        <v>1670</v>
      </c>
      <c r="E498" s="20" t="s">
        <v>1671</v>
      </c>
      <c r="F498" s="22">
        <v>3000</v>
      </c>
      <c r="G498" s="22">
        <v>358</v>
      </c>
      <c r="H498" s="27" t="s">
        <v>52</v>
      </c>
      <c r="I498" s="40" t="s">
        <v>42</v>
      </c>
      <c r="J498" s="28">
        <v>2022</v>
      </c>
      <c r="K498" s="34" t="s">
        <v>47</v>
      </c>
      <c r="L498" s="30" t="s">
        <v>1672</v>
      </c>
      <c r="M498" s="43">
        <v>190000</v>
      </c>
      <c r="N498" s="32">
        <v>0</v>
      </c>
      <c r="O498" s="35">
        <v>0</v>
      </c>
      <c r="P498" s="21">
        <v>0</v>
      </c>
      <c r="Q498" s="21">
        <v>0</v>
      </c>
      <c r="R498" s="23">
        <v>190000</v>
      </c>
    </row>
    <row r="499" spans="1:18" x14ac:dyDescent="0.35">
      <c r="A499" s="24" t="s">
        <v>94</v>
      </c>
      <c r="B499" s="33" t="s">
        <v>123</v>
      </c>
      <c r="C499" s="26" t="s">
        <v>1673</v>
      </c>
      <c r="D499" s="13" t="s">
        <v>1674</v>
      </c>
      <c r="E499" s="20" t="s">
        <v>1675</v>
      </c>
      <c r="F499" s="22">
        <v>124</v>
      </c>
      <c r="G499" s="22">
        <v>0</v>
      </c>
      <c r="H499" s="27" t="s">
        <v>33</v>
      </c>
      <c r="I499" s="40" t="s">
        <v>42</v>
      </c>
      <c r="J499" s="28">
        <v>2015</v>
      </c>
      <c r="K499" s="29" t="s">
        <v>34</v>
      </c>
      <c r="L499" s="30" t="s">
        <v>58</v>
      </c>
      <c r="M499" s="31">
        <v>3000</v>
      </c>
      <c r="N499" s="32">
        <v>3000</v>
      </c>
      <c r="O499" s="35">
        <v>0</v>
      </c>
      <c r="P499" s="21">
        <v>0</v>
      </c>
      <c r="Q499" s="21">
        <v>0</v>
      </c>
      <c r="R499" s="23">
        <v>0</v>
      </c>
    </row>
    <row r="500" spans="1:18" x14ac:dyDescent="0.35">
      <c r="A500" s="24" t="s">
        <v>30</v>
      </c>
      <c r="B500" s="33" t="s">
        <v>662</v>
      </c>
      <c r="C500" s="26" t="s">
        <v>1676</v>
      </c>
      <c r="D500" s="13" t="s">
        <v>1677</v>
      </c>
      <c r="E500" s="13" t="s">
        <v>1678</v>
      </c>
      <c r="F500" s="22">
        <v>399</v>
      </c>
      <c r="G500" s="22">
        <v>0</v>
      </c>
      <c r="H500" s="27" t="s">
        <v>33</v>
      </c>
      <c r="I500" s="40" t="s">
        <v>42</v>
      </c>
      <c r="J500" s="28">
        <v>2016</v>
      </c>
      <c r="K500" s="29" t="s">
        <v>34</v>
      </c>
      <c r="L500" s="30" t="s">
        <v>1679</v>
      </c>
      <c r="M500" s="31">
        <v>8000</v>
      </c>
      <c r="N500" s="32">
        <v>2000</v>
      </c>
      <c r="O500" s="35">
        <v>4000</v>
      </c>
      <c r="P500" s="35">
        <v>0</v>
      </c>
      <c r="Q500" s="21">
        <v>0</v>
      </c>
      <c r="R500" s="23">
        <v>2000</v>
      </c>
    </row>
    <row r="501" spans="1:18" x14ac:dyDescent="0.35">
      <c r="A501" s="24" t="s">
        <v>85</v>
      </c>
      <c r="B501" s="33" t="s">
        <v>86</v>
      </c>
      <c r="C501" s="26" t="s">
        <v>359</v>
      </c>
      <c r="D501" s="13" t="s">
        <v>1680</v>
      </c>
      <c r="E501" s="20" t="s">
        <v>1681</v>
      </c>
      <c r="F501" s="22">
        <v>475</v>
      </c>
      <c r="G501" s="22">
        <v>0</v>
      </c>
      <c r="H501" s="27" t="s">
        <v>33</v>
      </c>
      <c r="I501" s="40" t="s">
        <v>42</v>
      </c>
      <c r="J501" s="28">
        <v>2014</v>
      </c>
      <c r="K501" s="34" t="s">
        <v>34</v>
      </c>
      <c r="L501" s="30" t="s">
        <v>1682</v>
      </c>
      <c r="M501" s="31">
        <v>12500</v>
      </c>
      <c r="N501" s="32">
        <v>6000</v>
      </c>
      <c r="O501" s="35">
        <v>6500</v>
      </c>
      <c r="P501" s="21">
        <v>0</v>
      </c>
      <c r="Q501" s="21">
        <v>0</v>
      </c>
      <c r="R501" s="23">
        <v>0</v>
      </c>
    </row>
    <row r="502" spans="1:18" x14ac:dyDescent="0.35">
      <c r="A502" s="24" t="s">
        <v>63</v>
      </c>
      <c r="B502" s="33" t="s">
        <v>64</v>
      </c>
      <c r="C502" s="26" t="s">
        <v>1683</v>
      </c>
      <c r="D502" s="13" t="s">
        <v>1684</v>
      </c>
      <c r="E502" s="20" t="s">
        <v>1685</v>
      </c>
      <c r="F502" s="22">
        <v>300</v>
      </c>
      <c r="G502" s="22">
        <v>0</v>
      </c>
      <c r="H502" s="27" t="s">
        <v>33</v>
      </c>
      <c r="I502" s="40" t="s">
        <v>42</v>
      </c>
      <c r="J502" s="28">
        <v>2008</v>
      </c>
      <c r="K502" s="29" t="s">
        <v>34</v>
      </c>
      <c r="L502" s="30" t="s">
        <v>1686</v>
      </c>
      <c r="M502" s="31">
        <v>20000</v>
      </c>
      <c r="N502" s="32">
        <v>12000</v>
      </c>
      <c r="O502" s="21">
        <v>8000</v>
      </c>
      <c r="P502" s="21">
        <v>0</v>
      </c>
      <c r="Q502" s="21">
        <v>0</v>
      </c>
      <c r="R502" s="23">
        <v>0</v>
      </c>
    </row>
    <row r="503" spans="1:18" x14ac:dyDescent="0.35">
      <c r="A503" s="24" t="s">
        <v>38</v>
      </c>
      <c r="B503" s="33" t="s">
        <v>379</v>
      </c>
      <c r="C503" s="26" t="s">
        <v>1687</v>
      </c>
      <c r="D503" s="13" t="s">
        <v>1688</v>
      </c>
      <c r="E503" s="20" t="s">
        <v>1689</v>
      </c>
      <c r="F503" s="22">
        <v>808</v>
      </c>
      <c r="G503" s="22">
        <v>0</v>
      </c>
      <c r="H503" s="27" t="s">
        <v>33</v>
      </c>
      <c r="I503" s="40" t="s">
        <v>42</v>
      </c>
      <c r="J503" s="28">
        <v>2012</v>
      </c>
      <c r="K503" s="29" t="s">
        <v>47</v>
      </c>
      <c r="L503" s="30" t="s">
        <v>1150</v>
      </c>
      <c r="M503" s="31">
        <v>20000</v>
      </c>
      <c r="N503" s="32">
        <v>0</v>
      </c>
      <c r="O503" s="35">
        <v>0</v>
      </c>
      <c r="P503" s="21">
        <v>0</v>
      </c>
      <c r="Q503" s="21">
        <v>0</v>
      </c>
      <c r="R503" s="23">
        <v>20000</v>
      </c>
    </row>
    <row r="504" spans="1:18" ht="10.5" customHeight="1" x14ac:dyDescent="0.35">
      <c r="A504" s="24" t="s">
        <v>91</v>
      </c>
      <c r="B504" s="33" t="s">
        <v>295</v>
      </c>
      <c r="C504" s="26" t="s">
        <v>1687</v>
      </c>
      <c r="D504" s="13" t="s">
        <v>1690</v>
      </c>
      <c r="E504" s="20" t="s">
        <v>1691</v>
      </c>
      <c r="F504" s="22">
        <v>1226</v>
      </c>
      <c r="G504" s="22">
        <v>0</v>
      </c>
      <c r="H504" s="27" t="s">
        <v>33</v>
      </c>
      <c r="I504" s="40" t="s">
        <v>42</v>
      </c>
      <c r="J504" s="28">
        <v>2015</v>
      </c>
      <c r="K504" s="29" t="s">
        <v>47</v>
      </c>
      <c r="L504" s="30" t="s">
        <v>1150</v>
      </c>
      <c r="M504" s="31">
        <v>20000</v>
      </c>
      <c r="N504" s="32">
        <v>0</v>
      </c>
      <c r="O504" s="21">
        <v>0</v>
      </c>
      <c r="P504" s="21">
        <v>0</v>
      </c>
      <c r="Q504" s="21">
        <v>0</v>
      </c>
      <c r="R504" s="23">
        <v>20000</v>
      </c>
    </row>
    <row r="505" spans="1:18" ht="10.5" customHeight="1" x14ac:dyDescent="0.35">
      <c r="A505" s="24" t="s">
        <v>63</v>
      </c>
      <c r="B505" s="33" t="s">
        <v>257</v>
      </c>
      <c r="C505" s="26" t="s">
        <v>1692</v>
      </c>
      <c r="D505" s="13" t="s">
        <v>1693</v>
      </c>
      <c r="E505" s="20" t="s">
        <v>1694</v>
      </c>
      <c r="F505" s="22">
        <v>489</v>
      </c>
      <c r="G505" s="22">
        <v>0</v>
      </c>
      <c r="H505" s="27" t="s">
        <v>33</v>
      </c>
      <c r="I505" s="40" t="s">
        <v>42</v>
      </c>
      <c r="J505" s="28">
        <v>2013</v>
      </c>
      <c r="K505" s="29" t="s">
        <v>34</v>
      </c>
      <c r="L505" s="30" t="s">
        <v>1695</v>
      </c>
      <c r="M505" s="31">
        <v>13500</v>
      </c>
      <c r="N505" s="32">
        <v>9500</v>
      </c>
      <c r="O505" s="35">
        <v>4000</v>
      </c>
      <c r="P505" s="21">
        <v>0</v>
      </c>
      <c r="Q505" s="21">
        <v>0</v>
      </c>
      <c r="R505" s="23">
        <v>0</v>
      </c>
    </row>
    <row r="506" spans="1:18" ht="10.5" customHeight="1" x14ac:dyDescent="0.35">
      <c r="A506" s="24" t="s">
        <v>85</v>
      </c>
      <c r="B506" s="33" t="s">
        <v>558</v>
      </c>
      <c r="C506" s="26" t="s">
        <v>316</v>
      </c>
      <c r="D506" s="13" t="s">
        <v>1696</v>
      </c>
      <c r="E506" s="20" t="s">
        <v>1697</v>
      </c>
      <c r="F506" s="22">
        <v>6000</v>
      </c>
      <c r="G506" s="22">
        <v>0</v>
      </c>
      <c r="H506" s="27" t="s">
        <v>33</v>
      </c>
      <c r="I506" s="40" t="s">
        <v>42</v>
      </c>
      <c r="J506" s="28">
        <v>2016</v>
      </c>
      <c r="K506" s="29" t="s">
        <v>47</v>
      </c>
      <c r="L506" s="30" t="s">
        <v>90</v>
      </c>
      <c r="M506" s="31">
        <v>65000</v>
      </c>
      <c r="N506" s="32">
        <v>0</v>
      </c>
      <c r="O506" s="35">
        <v>0</v>
      </c>
      <c r="P506" s="35">
        <v>39000</v>
      </c>
      <c r="Q506" s="21">
        <v>0</v>
      </c>
      <c r="R506" s="23">
        <v>26000</v>
      </c>
    </row>
    <row r="507" spans="1:18" ht="10.5" customHeight="1" x14ac:dyDescent="0.35">
      <c r="A507" s="24" t="s">
        <v>94</v>
      </c>
      <c r="B507" s="25" t="s">
        <v>371</v>
      </c>
      <c r="C507" s="26" t="s">
        <v>262</v>
      </c>
      <c r="D507" s="13" t="s">
        <v>1698</v>
      </c>
      <c r="E507" s="20" t="s">
        <v>1699</v>
      </c>
      <c r="F507" s="22">
        <v>2000</v>
      </c>
      <c r="G507" s="22">
        <v>0</v>
      </c>
      <c r="H507" s="27" t="s">
        <v>33</v>
      </c>
      <c r="I507" s="40" t="s">
        <v>42</v>
      </c>
      <c r="J507" s="28">
        <v>2012</v>
      </c>
      <c r="K507" s="29" t="s">
        <v>47</v>
      </c>
      <c r="L507" s="30" t="s">
        <v>90</v>
      </c>
      <c r="M507" s="31">
        <v>35000</v>
      </c>
      <c r="N507" s="32">
        <v>0</v>
      </c>
      <c r="O507" s="35">
        <v>0</v>
      </c>
      <c r="P507" s="21">
        <v>21000</v>
      </c>
      <c r="Q507" s="21">
        <v>0</v>
      </c>
      <c r="R507" s="23">
        <v>14000</v>
      </c>
    </row>
    <row r="508" spans="1:18" ht="10.5" customHeight="1" x14ac:dyDescent="0.35">
      <c r="A508" s="24" t="s">
        <v>38</v>
      </c>
      <c r="B508" s="33" t="s">
        <v>39</v>
      </c>
      <c r="C508" s="26" t="s">
        <v>1700</v>
      </c>
      <c r="D508" s="13" t="s">
        <v>1701</v>
      </c>
      <c r="E508" s="20" t="s">
        <v>1702</v>
      </c>
      <c r="F508" s="22">
        <v>200</v>
      </c>
      <c r="G508" s="22">
        <v>0</v>
      </c>
      <c r="H508" s="27" t="s">
        <v>33</v>
      </c>
      <c r="I508" s="40" t="s">
        <v>42</v>
      </c>
      <c r="J508" s="28">
        <v>2006</v>
      </c>
      <c r="K508" s="34" t="s">
        <v>47</v>
      </c>
      <c r="L508" s="30" t="s">
        <v>152</v>
      </c>
      <c r="M508" s="31">
        <v>5000</v>
      </c>
      <c r="N508" s="32">
        <v>0</v>
      </c>
      <c r="O508" s="35">
        <v>0</v>
      </c>
      <c r="P508" s="21">
        <v>5000</v>
      </c>
      <c r="Q508" s="21">
        <v>0</v>
      </c>
      <c r="R508" s="23">
        <v>0</v>
      </c>
    </row>
    <row r="509" spans="1:18" ht="10.5" customHeight="1" x14ac:dyDescent="0.35">
      <c r="A509" s="24" t="s">
        <v>100</v>
      </c>
      <c r="B509" s="33" t="s">
        <v>118</v>
      </c>
      <c r="C509" s="26" t="s">
        <v>508</v>
      </c>
      <c r="D509" s="13" t="s">
        <v>2130</v>
      </c>
      <c r="E509" s="20" t="s">
        <v>1703</v>
      </c>
      <c r="F509" s="22">
        <v>2800</v>
      </c>
      <c r="G509" s="22">
        <v>0</v>
      </c>
      <c r="H509" s="27" t="s">
        <v>33</v>
      </c>
      <c r="I509" s="40" t="s">
        <v>42</v>
      </c>
      <c r="J509" s="28">
        <v>2016</v>
      </c>
      <c r="K509" s="29" t="s">
        <v>47</v>
      </c>
      <c r="L509" s="30" t="s">
        <v>152</v>
      </c>
      <c r="M509" s="31">
        <v>70000</v>
      </c>
      <c r="N509" s="32">
        <v>0</v>
      </c>
      <c r="O509" s="21">
        <v>0</v>
      </c>
      <c r="P509" s="21">
        <v>70000</v>
      </c>
      <c r="Q509" s="35">
        <v>0</v>
      </c>
      <c r="R509" s="23">
        <v>0</v>
      </c>
    </row>
    <row r="510" spans="1:18" ht="10.5" customHeight="1" x14ac:dyDescent="0.35">
      <c r="A510" s="24" t="s">
        <v>35</v>
      </c>
      <c r="B510" s="33" t="s">
        <v>36</v>
      </c>
      <c r="C510" s="26" t="s">
        <v>1704</v>
      </c>
      <c r="D510" s="13" t="s">
        <v>1705</v>
      </c>
      <c r="E510" s="20" t="s">
        <v>1706</v>
      </c>
      <c r="F510" s="22">
        <v>1000</v>
      </c>
      <c r="G510" s="22">
        <v>0</v>
      </c>
      <c r="H510" s="27" t="s">
        <v>33</v>
      </c>
      <c r="I510" s="40" t="s">
        <v>42</v>
      </c>
      <c r="J510" s="28" t="s">
        <v>93</v>
      </c>
      <c r="K510" s="34" t="s">
        <v>47</v>
      </c>
      <c r="L510" s="30" t="s">
        <v>1011</v>
      </c>
      <c r="M510" s="31">
        <v>20000</v>
      </c>
      <c r="N510" s="32">
        <v>0</v>
      </c>
      <c r="O510" s="21">
        <v>8000</v>
      </c>
      <c r="P510" s="21">
        <v>12000</v>
      </c>
      <c r="Q510" s="21">
        <v>0</v>
      </c>
      <c r="R510" s="23">
        <v>0</v>
      </c>
    </row>
    <row r="511" spans="1:18" ht="10.5" customHeight="1" x14ac:dyDescent="0.35">
      <c r="A511" s="24" t="s">
        <v>63</v>
      </c>
      <c r="B511" s="25" t="s">
        <v>257</v>
      </c>
      <c r="C511" s="36" t="s">
        <v>1707</v>
      </c>
      <c r="D511" s="13" t="s">
        <v>1707</v>
      </c>
      <c r="E511" s="20" t="s">
        <v>1708</v>
      </c>
      <c r="F511" s="22">
        <v>250</v>
      </c>
      <c r="G511" s="22">
        <v>550</v>
      </c>
      <c r="H511" s="27" t="s">
        <v>52</v>
      </c>
      <c r="I511" s="40" t="s">
        <v>42</v>
      </c>
      <c r="J511" s="28">
        <v>2016</v>
      </c>
      <c r="K511" s="29" t="s">
        <v>34</v>
      </c>
      <c r="L511" s="30"/>
      <c r="M511" s="31">
        <v>20000</v>
      </c>
      <c r="N511" s="32">
        <v>5000</v>
      </c>
      <c r="O511" s="35">
        <v>15000</v>
      </c>
      <c r="P511" s="21">
        <v>0</v>
      </c>
      <c r="Q511" s="21">
        <v>0</v>
      </c>
      <c r="R511" s="23">
        <v>0</v>
      </c>
    </row>
    <row r="512" spans="1:18" x14ac:dyDescent="0.35">
      <c r="A512" s="24" t="s">
        <v>38</v>
      </c>
      <c r="B512" s="33" t="s">
        <v>285</v>
      </c>
      <c r="C512" s="26" t="s">
        <v>1711</v>
      </c>
      <c r="D512" s="13" t="s">
        <v>1712</v>
      </c>
      <c r="E512" s="20" t="s">
        <v>1713</v>
      </c>
      <c r="F512" s="22">
        <v>482</v>
      </c>
      <c r="G512" s="22">
        <v>330</v>
      </c>
      <c r="H512" s="27" t="s">
        <v>52</v>
      </c>
      <c r="I512" s="40" t="s">
        <v>42</v>
      </c>
      <c r="J512" s="28">
        <v>2013</v>
      </c>
      <c r="K512" s="29" t="s">
        <v>34</v>
      </c>
      <c r="L512" s="30" t="s">
        <v>1714</v>
      </c>
      <c r="M512" s="31">
        <v>31000</v>
      </c>
      <c r="N512" s="32">
        <v>0</v>
      </c>
      <c r="O512" s="21">
        <v>16000</v>
      </c>
      <c r="P512" s="21">
        <v>0</v>
      </c>
      <c r="Q512" s="21">
        <v>15000</v>
      </c>
      <c r="R512" s="23">
        <v>0</v>
      </c>
    </row>
    <row r="513" spans="1:18" x14ac:dyDescent="0.35">
      <c r="A513" s="24" t="s">
        <v>35</v>
      </c>
      <c r="B513" s="33" t="s">
        <v>425</v>
      </c>
      <c r="C513" s="26" t="s">
        <v>1715</v>
      </c>
      <c r="D513" s="13" t="s">
        <v>1716</v>
      </c>
      <c r="E513" s="20" t="s">
        <v>1717</v>
      </c>
      <c r="F513" s="22">
        <v>499</v>
      </c>
      <c r="G513" s="22">
        <v>0</v>
      </c>
      <c r="H513" s="27" t="s">
        <v>33</v>
      </c>
      <c r="I513" s="40" t="s">
        <v>42</v>
      </c>
      <c r="J513" s="28">
        <v>2014</v>
      </c>
      <c r="K513" s="29" t="s">
        <v>34</v>
      </c>
      <c r="L513" s="30" t="s">
        <v>1718</v>
      </c>
      <c r="M513" s="31">
        <v>14000</v>
      </c>
      <c r="N513" s="32">
        <v>0</v>
      </c>
      <c r="O513" s="35">
        <v>14000</v>
      </c>
      <c r="P513" s="21">
        <v>0</v>
      </c>
      <c r="Q513" s="21">
        <v>0</v>
      </c>
      <c r="R513" s="23">
        <v>0</v>
      </c>
    </row>
    <row r="514" spans="1:18" ht="21" x14ac:dyDescent="0.35">
      <c r="A514" s="24" t="s">
        <v>48</v>
      </c>
      <c r="B514" s="33" t="s">
        <v>210</v>
      </c>
      <c r="C514" s="26" t="s">
        <v>2063</v>
      </c>
      <c r="D514" s="13" t="s">
        <v>2110</v>
      </c>
      <c r="E514" s="20" t="s">
        <v>655</v>
      </c>
      <c r="F514" s="22">
        <v>1560</v>
      </c>
      <c r="G514" s="22">
        <v>1000</v>
      </c>
      <c r="H514" s="27" t="s">
        <v>52</v>
      </c>
      <c r="I514" s="40" t="s">
        <v>42</v>
      </c>
      <c r="J514" s="28">
        <v>2023</v>
      </c>
      <c r="K514" s="29" t="s">
        <v>47</v>
      </c>
      <c r="L514" s="30" t="s">
        <v>2179</v>
      </c>
      <c r="M514" s="31">
        <v>129000</v>
      </c>
      <c r="N514" s="32">
        <v>13250</v>
      </c>
      <c r="O514" s="35">
        <v>20000</v>
      </c>
      <c r="P514" s="21">
        <v>90950</v>
      </c>
      <c r="Q514" s="21">
        <v>0</v>
      </c>
      <c r="R514" s="23">
        <v>4800</v>
      </c>
    </row>
    <row r="515" spans="1:18" x14ac:dyDescent="0.35">
      <c r="A515" s="24" t="s">
        <v>100</v>
      </c>
      <c r="B515" s="33" t="s">
        <v>118</v>
      </c>
      <c r="C515" s="26" t="s">
        <v>1719</v>
      </c>
      <c r="D515" s="13" t="s">
        <v>1720</v>
      </c>
      <c r="E515" s="20" t="s">
        <v>1721</v>
      </c>
      <c r="F515" s="22">
        <v>500</v>
      </c>
      <c r="G515" s="22">
        <v>0</v>
      </c>
      <c r="H515" s="27" t="s">
        <v>33</v>
      </c>
      <c r="I515" s="40" t="s">
        <v>42</v>
      </c>
      <c r="J515" s="28">
        <v>2017</v>
      </c>
      <c r="K515" s="34" t="s">
        <v>47</v>
      </c>
      <c r="L515" s="30" t="s">
        <v>1722</v>
      </c>
      <c r="M515" s="31">
        <v>20000</v>
      </c>
      <c r="N515" s="32">
        <v>0</v>
      </c>
      <c r="O515" s="21">
        <v>8000</v>
      </c>
      <c r="P515" s="35">
        <v>0</v>
      </c>
      <c r="Q515" s="21">
        <v>0</v>
      </c>
      <c r="R515" s="23">
        <v>12000</v>
      </c>
    </row>
    <row r="516" spans="1:18" x14ac:dyDescent="0.35">
      <c r="A516" s="24" t="s">
        <v>91</v>
      </c>
      <c r="B516" s="33" t="s">
        <v>295</v>
      </c>
      <c r="C516" s="26" t="s">
        <v>746</v>
      </c>
      <c r="D516" s="13" t="s">
        <v>1723</v>
      </c>
      <c r="E516" s="20" t="s">
        <v>1724</v>
      </c>
      <c r="F516" s="22">
        <v>245</v>
      </c>
      <c r="G516" s="22">
        <v>275</v>
      </c>
      <c r="H516" s="27" t="s">
        <v>52</v>
      </c>
      <c r="I516" s="40" t="s">
        <v>42</v>
      </c>
      <c r="J516" s="28">
        <v>2014</v>
      </c>
      <c r="K516" s="29" t="s">
        <v>34</v>
      </c>
      <c r="L516" s="30" t="s">
        <v>1725</v>
      </c>
      <c r="M516" s="31">
        <v>37000</v>
      </c>
      <c r="N516" s="32">
        <v>0</v>
      </c>
      <c r="O516" s="21">
        <v>32000</v>
      </c>
      <c r="P516" s="21">
        <v>0</v>
      </c>
      <c r="Q516" s="21">
        <v>5000</v>
      </c>
      <c r="R516" s="23">
        <v>0</v>
      </c>
    </row>
    <row r="517" spans="1:18" x14ac:dyDescent="0.35">
      <c r="A517" s="24" t="s">
        <v>48</v>
      </c>
      <c r="B517" s="33" t="s">
        <v>210</v>
      </c>
      <c r="C517" s="26" t="s">
        <v>292</v>
      </c>
      <c r="D517" s="13" t="s">
        <v>2120</v>
      </c>
      <c r="E517" s="20" t="s">
        <v>1598</v>
      </c>
      <c r="F517" s="22">
        <v>1500</v>
      </c>
      <c r="G517" s="22">
        <v>0</v>
      </c>
      <c r="H517" s="27" t="s">
        <v>33</v>
      </c>
      <c r="I517" s="40" t="s">
        <v>42</v>
      </c>
      <c r="J517" s="28">
        <v>2012</v>
      </c>
      <c r="K517" s="29" t="s">
        <v>34</v>
      </c>
      <c r="L517" s="30" t="s">
        <v>1599</v>
      </c>
      <c r="M517" s="31">
        <v>28000</v>
      </c>
      <c r="N517" s="32">
        <v>0</v>
      </c>
      <c r="O517" s="21">
        <v>28000</v>
      </c>
      <c r="P517" s="35">
        <v>0</v>
      </c>
      <c r="Q517" s="21">
        <v>0</v>
      </c>
      <c r="R517" s="23">
        <v>0</v>
      </c>
    </row>
    <row r="518" spans="1:18" x14ac:dyDescent="0.35">
      <c r="A518" s="24" t="s">
        <v>30</v>
      </c>
      <c r="B518" s="33" t="s">
        <v>31</v>
      </c>
      <c r="C518" s="26" t="s">
        <v>1726</v>
      </c>
      <c r="D518" s="13" t="s">
        <v>1727</v>
      </c>
      <c r="E518" s="13" t="s">
        <v>1728</v>
      </c>
      <c r="F518" s="35">
        <v>185</v>
      </c>
      <c r="G518" s="22">
        <v>0</v>
      </c>
      <c r="H518" s="27" t="s">
        <v>33</v>
      </c>
      <c r="I518" s="40" t="s">
        <v>42</v>
      </c>
      <c r="J518" s="28">
        <v>2014</v>
      </c>
      <c r="K518" s="29" t="s">
        <v>34</v>
      </c>
      <c r="L518" s="30" t="s">
        <v>635</v>
      </c>
      <c r="M518" s="31">
        <v>11000</v>
      </c>
      <c r="N518" s="32">
        <v>7000</v>
      </c>
      <c r="O518" s="21">
        <v>4000</v>
      </c>
      <c r="P518" s="35">
        <v>0</v>
      </c>
      <c r="Q518" s="21">
        <v>0</v>
      </c>
      <c r="R518" s="23">
        <v>0</v>
      </c>
    </row>
    <row r="519" spans="1:18" ht="10.5" customHeight="1" x14ac:dyDescent="0.35">
      <c r="A519" s="24" t="s">
        <v>94</v>
      </c>
      <c r="B519" s="33" t="s">
        <v>95</v>
      </c>
      <c r="C519" s="26" t="s">
        <v>1729</v>
      </c>
      <c r="D519" s="13" t="s">
        <v>1730</v>
      </c>
      <c r="E519" s="20" t="s">
        <v>1731</v>
      </c>
      <c r="F519" s="22">
        <v>800</v>
      </c>
      <c r="G519" s="22">
        <v>0</v>
      </c>
      <c r="H519" s="27" t="s">
        <v>33</v>
      </c>
      <c r="I519" s="40" t="s">
        <v>42</v>
      </c>
      <c r="J519" s="28">
        <v>2014</v>
      </c>
      <c r="K519" s="34" t="s">
        <v>34</v>
      </c>
      <c r="L519" s="30" t="s">
        <v>1732</v>
      </c>
      <c r="M519" s="31">
        <v>17000</v>
      </c>
      <c r="N519" s="32">
        <v>4000</v>
      </c>
      <c r="O519" s="35">
        <v>3000</v>
      </c>
      <c r="P519" s="21">
        <v>0</v>
      </c>
      <c r="Q519" s="21">
        <v>10000</v>
      </c>
      <c r="R519" s="23">
        <v>0</v>
      </c>
    </row>
    <row r="520" spans="1:18" x14ac:dyDescent="0.35">
      <c r="A520" s="24" t="s">
        <v>63</v>
      </c>
      <c r="B520" s="33" t="s">
        <v>64</v>
      </c>
      <c r="C520" s="26" t="s">
        <v>1733</v>
      </c>
      <c r="D520" s="13" t="s">
        <v>1734</v>
      </c>
      <c r="E520" s="20" t="s">
        <v>2166</v>
      </c>
      <c r="F520" s="22">
        <v>3600</v>
      </c>
      <c r="G520" s="22">
        <v>0</v>
      </c>
      <c r="H520" s="27" t="s">
        <v>52</v>
      </c>
      <c r="I520" s="40" t="s">
        <v>42</v>
      </c>
      <c r="J520" s="28">
        <v>2010</v>
      </c>
      <c r="K520" s="29" t="s">
        <v>47</v>
      </c>
      <c r="L520" s="30" t="s">
        <v>1735</v>
      </c>
      <c r="M520" s="31">
        <v>120000</v>
      </c>
      <c r="N520" s="32">
        <v>0</v>
      </c>
      <c r="O520" s="21">
        <v>0</v>
      </c>
      <c r="P520" s="35">
        <v>120000</v>
      </c>
      <c r="Q520" s="21">
        <v>0</v>
      </c>
      <c r="R520" s="23">
        <v>0</v>
      </c>
    </row>
    <row r="521" spans="1:18" x14ac:dyDescent="0.35">
      <c r="A521" s="24" t="s">
        <v>35</v>
      </c>
      <c r="B521" s="33" t="s">
        <v>36</v>
      </c>
      <c r="C521" s="26" t="s">
        <v>1737</v>
      </c>
      <c r="D521" s="13" t="s">
        <v>1737</v>
      </c>
      <c r="E521" s="13" t="s">
        <v>1738</v>
      </c>
      <c r="F521" s="22">
        <v>2810</v>
      </c>
      <c r="G521" s="22">
        <v>0</v>
      </c>
      <c r="H521" s="27" t="s">
        <v>33</v>
      </c>
      <c r="I521" s="40" t="s">
        <v>42</v>
      </c>
      <c r="J521" s="28">
        <v>2011</v>
      </c>
      <c r="K521" s="29" t="s">
        <v>34</v>
      </c>
      <c r="L521" s="30" t="s">
        <v>1739</v>
      </c>
      <c r="M521" s="31">
        <v>51000</v>
      </c>
      <c r="N521" s="32">
        <v>0</v>
      </c>
      <c r="O521" s="21">
        <v>30000</v>
      </c>
      <c r="P521" s="35">
        <v>0</v>
      </c>
      <c r="Q521" s="21">
        <v>21000</v>
      </c>
      <c r="R521" s="23">
        <v>0</v>
      </c>
    </row>
    <row r="522" spans="1:18" x14ac:dyDescent="0.35">
      <c r="A522" s="24" t="s">
        <v>35</v>
      </c>
      <c r="B522" s="33" t="s">
        <v>36</v>
      </c>
      <c r="C522" s="26" t="s">
        <v>1740</v>
      </c>
      <c r="D522" s="13" t="s">
        <v>1741</v>
      </c>
      <c r="E522" s="20" t="s">
        <v>1742</v>
      </c>
      <c r="F522" s="22">
        <v>480</v>
      </c>
      <c r="G522" s="22">
        <v>0</v>
      </c>
      <c r="H522" s="27" t="s">
        <v>52</v>
      </c>
      <c r="I522" s="40" t="s">
        <v>42</v>
      </c>
      <c r="J522" s="28">
        <v>2013</v>
      </c>
      <c r="K522" s="29" t="s">
        <v>34</v>
      </c>
      <c r="L522" s="30" t="s">
        <v>1743</v>
      </c>
      <c r="M522" s="31">
        <v>25000</v>
      </c>
      <c r="N522" s="32">
        <v>0</v>
      </c>
      <c r="O522" s="21">
        <v>7500</v>
      </c>
      <c r="P522" s="35">
        <v>0</v>
      </c>
      <c r="Q522" s="21">
        <v>17500</v>
      </c>
      <c r="R522" s="23">
        <v>0</v>
      </c>
    </row>
    <row r="523" spans="1:18" x14ac:dyDescent="0.35">
      <c r="A523" s="24" t="s">
        <v>48</v>
      </c>
      <c r="B523" s="33" t="s">
        <v>75</v>
      </c>
      <c r="C523" s="26" t="s">
        <v>2074</v>
      </c>
      <c r="D523" s="13" t="s">
        <v>1744</v>
      </c>
      <c r="E523" s="20" t="s">
        <v>1745</v>
      </c>
      <c r="F523" s="22">
        <v>992</v>
      </c>
      <c r="G523" s="22">
        <v>0</v>
      </c>
      <c r="H523" s="27" t="s">
        <v>33</v>
      </c>
      <c r="I523" s="40" t="s">
        <v>42</v>
      </c>
      <c r="J523" s="28">
        <v>2012</v>
      </c>
      <c r="K523" s="29" t="s">
        <v>34</v>
      </c>
      <c r="L523" s="30" t="s">
        <v>267</v>
      </c>
      <c r="M523" s="31">
        <v>20000</v>
      </c>
      <c r="N523" s="32">
        <v>0</v>
      </c>
      <c r="O523" s="21">
        <v>20000</v>
      </c>
      <c r="P523" s="35">
        <v>0</v>
      </c>
      <c r="Q523" s="21">
        <v>0</v>
      </c>
      <c r="R523" s="23">
        <v>0</v>
      </c>
    </row>
    <row r="524" spans="1:18" x14ac:dyDescent="0.35">
      <c r="A524" s="24" t="s">
        <v>38</v>
      </c>
      <c r="B524" s="33" t="s">
        <v>39</v>
      </c>
      <c r="C524" s="26" t="s">
        <v>1746</v>
      </c>
      <c r="D524" s="13" t="s">
        <v>1747</v>
      </c>
      <c r="E524" s="20" t="s">
        <v>1748</v>
      </c>
      <c r="F524" s="22">
        <v>1430</v>
      </c>
      <c r="G524" s="22">
        <v>0</v>
      </c>
      <c r="H524" s="27" t="s">
        <v>33</v>
      </c>
      <c r="I524" s="40" t="s">
        <v>42</v>
      </c>
      <c r="J524" s="28">
        <v>2015</v>
      </c>
      <c r="K524" s="34" t="s">
        <v>34</v>
      </c>
      <c r="L524" s="30" t="s">
        <v>426</v>
      </c>
      <c r="M524" s="31">
        <v>33000</v>
      </c>
      <c r="N524" s="32">
        <v>33000</v>
      </c>
      <c r="O524" s="21">
        <v>0</v>
      </c>
      <c r="P524" s="35">
        <v>0</v>
      </c>
      <c r="Q524" s="21">
        <v>0</v>
      </c>
      <c r="R524" s="23">
        <v>0</v>
      </c>
    </row>
    <row r="525" spans="1:18" x14ac:dyDescent="0.35">
      <c r="A525" s="24" t="s">
        <v>35</v>
      </c>
      <c r="B525" s="25" t="s">
        <v>425</v>
      </c>
      <c r="C525" s="36" t="s">
        <v>508</v>
      </c>
      <c r="D525" s="13" t="s">
        <v>1749</v>
      </c>
      <c r="E525" s="20" t="s">
        <v>1750</v>
      </c>
      <c r="F525" s="22">
        <v>5600</v>
      </c>
      <c r="G525" s="22">
        <v>600</v>
      </c>
      <c r="H525" s="27" t="s">
        <v>52</v>
      </c>
      <c r="I525" s="40" t="s">
        <v>42</v>
      </c>
      <c r="J525" s="28">
        <v>2010</v>
      </c>
      <c r="K525" s="29" t="s">
        <v>34</v>
      </c>
      <c r="L525" s="30" t="s">
        <v>444</v>
      </c>
      <c r="M525" s="31">
        <v>79000</v>
      </c>
      <c r="N525" s="32">
        <v>0</v>
      </c>
      <c r="O525" s="21">
        <v>79000</v>
      </c>
      <c r="P525" s="35">
        <v>0</v>
      </c>
      <c r="Q525" s="21">
        <v>0</v>
      </c>
      <c r="R525" s="23">
        <v>0</v>
      </c>
    </row>
    <row r="526" spans="1:18" x14ac:dyDescent="0.35">
      <c r="A526" s="24" t="s">
        <v>63</v>
      </c>
      <c r="B526" s="33" t="s">
        <v>274</v>
      </c>
      <c r="C526" s="26" t="s">
        <v>1751</v>
      </c>
      <c r="D526" s="13" t="s">
        <v>1752</v>
      </c>
      <c r="E526" s="20" t="s">
        <v>1753</v>
      </c>
      <c r="F526" s="22">
        <v>485.4</v>
      </c>
      <c r="G526" s="22">
        <v>0</v>
      </c>
      <c r="H526" s="27" t="s">
        <v>33</v>
      </c>
      <c r="I526" s="40" t="s">
        <v>42</v>
      </c>
      <c r="J526" s="28">
        <v>2016</v>
      </c>
      <c r="K526" s="34" t="s">
        <v>34</v>
      </c>
      <c r="L526" s="38" t="s">
        <v>110</v>
      </c>
      <c r="M526" s="31">
        <v>22000</v>
      </c>
      <c r="N526" s="32">
        <v>10000</v>
      </c>
      <c r="O526" s="21">
        <v>12000</v>
      </c>
      <c r="P526" s="35">
        <v>0</v>
      </c>
      <c r="Q526" s="21">
        <v>0</v>
      </c>
      <c r="R526" s="23">
        <v>0</v>
      </c>
    </row>
    <row r="527" spans="1:18" x14ac:dyDescent="0.35">
      <c r="A527" s="24" t="s">
        <v>44</v>
      </c>
      <c r="B527" s="33" t="s">
        <v>45</v>
      </c>
      <c r="C527" s="26" t="s">
        <v>1754</v>
      </c>
      <c r="D527" s="13" t="s">
        <v>1755</v>
      </c>
      <c r="E527" s="20" t="s">
        <v>1756</v>
      </c>
      <c r="F527" s="22">
        <v>250</v>
      </c>
      <c r="G527" s="22">
        <v>0</v>
      </c>
      <c r="H527" s="27" t="s">
        <v>33</v>
      </c>
      <c r="I527" s="40" t="s">
        <v>42</v>
      </c>
      <c r="J527" s="28">
        <v>2016</v>
      </c>
      <c r="K527" s="29" t="s">
        <v>34</v>
      </c>
      <c r="L527" s="30" t="s">
        <v>339</v>
      </c>
      <c r="M527" s="31">
        <v>6100</v>
      </c>
      <c r="N527" s="32">
        <v>1000</v>
      </c>
      <c r="O527" s="21">
        <v>5100</v>
      </c>
      <c r="P527" s="35">
        <v>0</v>
      </c>
      <c r="Q527" s="21">
        <v>0</v>
      </c>
      <c r="R527" s="23">
        <v>0</v>
      </c>
    </row>
    <row r="528" spans="1:18" x14ac:dyDescent="0.35">
      <c r="A528" s="24" t="s">
        <v>35</v>
      </c>
      <c r="B528" s="33" t="s">
        <v>425</v>
      </c>
      <c r="C528" s="26" t="s">
        <v>2055</v>
      </c>
      <c r="D528" s="13" t="s">
        <v>1757</v>
      </c>
      <c r="E528" s="20" t="s">
        <v>2147</v>
      </c>
      <c r="F528" s="22">
        <v>950</v>
      </c>
      <c r="G528" s="22">
        <v>0</v>
      </c>
      <c r="H528" s="27" t="s">
        <v>33</v>
      </c>
      <c r="I528" s="40" t="s">
        <v>42</v>
      </c>
      <c r="J528" s="28">
        <v>2015</v>
      </c>
      <c r="K528" s="34" t="s">
        <v>34</v>
      </c>
      <c r="L528" s="30" t="s">
        <v>1758</v>
      </c>
      <c r="M528" s="31">
        <v>19000</v>
      </c>
      <c r="N528" s="32">
        <v>0</v>
      </c>
      <c r="O528" s="21">
        <v>19000</v>
      </c>
      <c r="P528" s="35">
        <v>0</v>
      </c>
      <c r="Q528" s="21">
        <v>0</v>
      </c>
      <c r="R528" s="23">
        <v>0</v>
      </c>
    </row>
    <row r="529" spans="1:18" x14ac:dyDescent="0.35">
      <c r="A529" s="24" t="s">
        <v>44</v>
      </c>
      <c r="B529" s="33" t="s">
        <v>106</v>
      </c>
      <c r="C529" s="26" t="s">
        <v>1759</v>
      </c>
      <c r="D529" s="13" t="s">
        <v>1760</v>
      </c>
      <c r="E529" s="20" t="s">
        <v>1761</v>
      </c>
      <c r="F529" s="22">
        <v>180</v>
      </c>
      <c r="G529" s="22">
        <v>0</v>
      </c>
      <c r="H529" s="27" t="s">
        <v>33</v>
      </c>
      <c r="I529" s="40" t="s">
        <v>42</v>
      </c>
      <c r="J529" s="28">
        <v>2017</v>
      </c>
      <c r="K529" s="34" t="s">
        <v>34</v>
      </c>
      <c r="L529" s="30" t="s">
        <v>61</v>
      </c>
      <c r="M529" s="31">
        <v>8800</v>
      </c>
      <c r="N529" s="32">
        <v>2200</v>
      </c>
      <c r="O529" s="21">
        <v>6600</v>
      </c>
      <c r="P529" s="35">
        <v>0</v>
      </c>
      <c r="Q529" s="21">
        <v>0</v>
      </c>
      <c r="R529" s="23">
        <v>0</v>
      </c>
    </row>
    <row r="530" spans="1:18" ht="10.5" customHeight="1" x14ac:dyDescent="0.35">
      <c r="A530" s="24" t="s">
        <v>94</v>
      </c>
      <c r="B530" s="33" t="s">
        <v>143</v>
      </c>
      <c r="C530" s="26" t="s">
        <v>312</v>
      </c>
      <c r="D530" s="13" t="s">
        <v>1762</v>
      </c>
      <c r="E530" s="20" t="s">
        <v>1763</v>
      </c>
      <c r="F530" s="22">
        <v>52</v>
      </c>
      <c r="G530" s="22">
        <v>0</v>
      </c>
      <c r="H530" s="27" t="s">
        <v>33</v>
      </c>
      <c r="I530" s="40" t="s">
        <v>42</v>
      </c>
      <c r="J530" s="28">
        <v>2017</v>
      </c>
      <c r="K530" s="29" t="s">
        <v>34</v>
      </c>
      <c r="L530" s="30" t="s">
        <v>213</v>
      </c>
      <c r="M530" s="31">
        <v>8000</v>
      </c>
      <c r="N530" s="32">
        <v>8000</v>
      </c>
      <c r="O530" s="35">
        <v>0</v>
      </c>
      <c r="P530" s="21">
        <v>0</v>
      </c>
      <c r="Q530" s="21">
        <v>0</v>
      </c>
      <c r="R530" s="23">
        <v>0</v>
      </c>
    </row>
    <row r="531" spans="1:18" ht="10.5" customHeight="1" x14ac:dyDescent="0.35">
      <c r="A531" s="24" t="s">
        <v>91</v>
      </c>
      <c r="B531" s="33" t="s">
        <v>202</v>
      </c>
      <c r="C531" s="26" t="s">
        <v>1764</v>
      </c>
      <c r="D531" s="13" t="s">
        <v>1765</v>
      </c>
      <c r="E531" s="20" t="s">
        <v>1766</v>
      </c>
      <c r="F531" s="22">
        <v>1235</v>
      </c>
      <c r="G531" s="22">
        <v>0</v>
      </c>
      <c r="H531" s="27" t="s">
        <v>33</v>
      </c>
      <c r="I531" s="40" t="s">
        <v>42</v>
      </c>
      <c r="J531" s="28">
        <v>2012</v>
      </c>
      <c r="K531" s="34" t="s">
        <v>34</v>
      </c>
      <c r="L531" s="30" t="s">
        <v>1767</v>
      </c>
      <c r="M531" s="31">
        <v>26000</v>
      </c>
      <c r="N531" s="32">
        <v>6750</v>
      </c>
      <c r="O531" s="21">
        <v>19250</v>
      </c>
      <c r="P531" s="21">
        <v>0</v>
      </c>
      <c r="Q531" s="35">
        <v>0</v>
      </c>
      <c r="R531" s="23">
        <v>0</v>
      </c>
    </row>
    <row r="532" spans="1:18" x14ac:dyDescent="0.35">
      <c r="A532" s="24" t="s">
        <v>35</v>
      </c>
      <c r="B532" s="33" t="s">
        <v>425</v>
      </c>
      <c r="C532" s="26" t="s">
        <v>523</v>
      </c>
      <c r="D532" s="13" t="s">
        <v>1768</v>
      </c>
      <c r="E532" s="20" t="s">
        <v>1769</v>
      </c>
      <c r="F532" s="22">
        <v>2200</v>
      </c>
      <c r="G532" s="22">
        <v>500</v>
      </c>
      <c r="H532" s="27" t="s">
        <v>52</v>
      </c>
      <c r="I532" s="40" t="s">
        <v>42</v>
      </c>
      <c r="J532" s="28">
        <v>2016</v>
      </c>
      <c r="K532" s="29" t="s">
        <v>34</v>
      </c>
      <c r="L532" s="30" t="s">
        <v>1770</v>
      </c>
      <c r="M532" s="31">
        <v>42400</v>
      </c>
      <c r="N532" s="32">
        <v>15000</v>
      </c>
      <c r="O532" s="21">
        <v>20000</v>
      </c>
      <c r="P532" s="21">
        <v>0</v>
      </c>
      <c r="Q532" s="35">
        <v>7400</v>
      </c>
      <c r="R532" s="23">
        <v>0</v>
      </c>
    </row>
    <row r="533" spans="1:18" ht="10.5" customHeight="1" x14ac:dyDescent="0.35">
      <c r="A533" s="24" t="s">
        <v>48</v>
      </c>
      <c r="B533" s="33" t="s">
        <v>49</v>
      </c>
      <c r="C533" s="26" t="s">
        <v>1771</v>
      </c>
      <c r="D533" s="13" t="s">
        <v>1772</v>
      </c>
      <c r="E533" s="20" t="s">
        <v>1773</v>
      </c>
      <c r="F533" s="22">
        <v>3526.03</v>
      </c>
      <c r="G533" s="22">
        <v>0</v>
      </c>
      <c r="H533" s="27" t="s">
        <v>33</v>
      </c>
      <c r="I533" s="40" t="s">
        <v>42</v>
      </c>
      <c r="J533" s="28">
        <v>2012</v>
      </c>
      <c r="K533" s="29" t="s">
        <v>34</v>
      </c>
      <c r="L533" s="30" t="s">
        <v>1774</v>
      </c>
      <c r="M533" s="31">
        <v>71640</v>
      </c>
      <c r="N533" s="32">
        <v>7000</v>
      </c>
      <c r="O533" s="35">
        <v>40000</v>
      </c>
      <c r="P533" s="21">
        <v>0</v>
      </c>
      <c r="Q533" s="21">
        <v>21000</v>
      </c>
      <c r="R533" s="23">
        <v>3640</v>
      </c>
    </row>
    <row r="534" spans="1:18" x14ac:dyDescent="0.35">
      <c r="A534" s="24" t="s">
        <v>35</v>
      </c>
      <c r="B534" s="33" t="s">
        <v>260</v>
      </c>
      <c r="C534" s="26" t="s">
        <v>393</v>
      </c>
      <c r="D534" s="13" t="s">
        <v>1775</v>
      </c>
      <c r="E534" s="20" t="s">
        <v>1776</v>
      </c>
      <c r="F534" s="22">
        <v>240</v>
      </c>
      <c r="G534" s="22">
        <v>0</v>
      </c>
      <c r="H534" s="27" t="s">
        <v>33</v>
      </c>
      <c r="I534" s="40" t="s">
        <v>42</v>
      </c>
      <c r="J534" s="28">
        <v>2007</v>
      </c>
      <c r="K534" s="34" t="s">
        <v>47</v>
      </c>
      <c r="L534" s="38" t="s">
        <v>152</v>
      </c>
      <c r="M534" s="31">
        <v>25000</v>
      </c>
      <c r="N534" s="32">
        <v>0</v>
      </c>
      <c r="O534" s="21">
        <v>0</v>
      </c>
      <c r="P534" s="35">
        <v>25000</v>
      </c>
      <c r="Q534" s="21">
        <v>0</v>
      </c>
      <c r="R534" s="23">
        <v>0</v>
      </c>
    </row>
    <row r="535" spans="1:18" x14ac:dyDescent="0.35">
      <c r="A535" s="24" t="s">
        <v>63</v>
      </c>
      <c r="B535" s="33" t="s">
        <v>257</v>
      </c>
      <c r="C535" s="26" t="s">
        <v>524</v>
      </c>
      <c r="D535" s="13" t="s">
        <v>2115</v>
      </c>
      <c r="E535" s="20" t="s">
        <v>814</v>
      </c>
      <c r="F535" s="22">
        <v>1000</v>
      </c>
      <c r="G535" s="22">
        <v>600</v>
      </c>
      <c r="H535" s="27" t="s">
        <v>52</v>
      </c>
      <c r="I535" s="40" t="s">
        <v>42</v>
      </c>
      <c r="J535" s="28">
        <v>2015</v>
      </c>
      <c r="K535" s="29" t="s">
        <v>34</v>
      </c>
      <c r="L535" s="30" t="s">
        <v>815</v>
      </c>
      <c r="M535" s="31">
        <v>66000</v>
      </c>
      <c r="N535" s="32">
        <v>12800</v>
      </c>
      <c r="O535" s="21">
        <v>48200</v>
      </c>
      <c r="P535" s="35">
        <v>0</v>
      </c>
      <c r="Q535" s="21">
        <v>5000</v>
      </c>
      <c r="R535" s="23">
        <v>0</v>
      </c>
    </row>
    <row r="536" spans="1:18" ht="10.5" customHeight="1" x14ac:dyDescent="0.35">
      <c r="A536" s="24" t="s">
        <v>91</v>
      </c>
      <c r="B536" s="48" t="s">
        <v>202</v>
      </c>
      <c r="C536" s="26" t="s">
        <v>1777</v>
      </c>
      <c r="D536" s="13" t="s">
        <v>1778</v>
      </c>
      <c r="E536" s="13" t="s">
        <v>1779</v>
      </c>
      <c r="F536" s="22">
        <v>1500</v>
      </c>
      <c r="G536" s="22">
        <v>0</v>
      </c>
      <c r="H536" s="27" t="s">
        <v>33</v>
      </c>
      <c r="I536" s="13" t="s">
        <v>42</v>
      </c>
      <c r="J536" s="28">
        <v>2011</v>
      </c>
      <c r="K536" s="29" t="s">
        <v>34</v>
      </c>
      <c r="L536" s="30" t="s">
        <v>267</v>
      </c>
      <c r="M536" s="31">
        <v>22000</v>
      </c>
      <c r="N536" s="32">
        <v>0</v>
      </c>
      <c r="O536" s="35">
        <v>22000</v>
      </c>
      <c r="P536" s="35">
        <v>0</v>
      </c>
      <c r="Q536" s="35">
        <v>0</v>
      </c>
      <c r="R536" s="23">
        <v>0</v>
      </c>
    </row>
    <row r="537" spans="1:18" ht="10.5" customHeight="1" x14ac:dyDescent="0.35">
      <c r="A537" s="24" t="s">
        <v>35</v>
      </c>
      <c r="B537" s="33" t="s">
        <v>425</v>
      </c>
      <c r="C537" s="26" t="s">
        <v>1780</v>
      </c>
      <c r="D537" s="13" t="s">
        <v>1781</v>
      </c>
      <c r="E537" s="20" t="s">
        <v>1782</v>
      </c>
      <c r="F537" s="22">
        <v>2854.6</v>
      </c>
      <c r="G537" s="22">
        <v>0</v>
      </c>
      <c r="H537" s="27" t="s">
        <v>33</v>
      </c>
      <c r="I537" s="40" t="s">
        <v>42</v>
      </c>
      <c r="J537" s="28">
        <v>2014</v>
      </c>
      <c r="K537" s="29" t="s">
        <v>34</v>
      </c>
      <c r="L537" s="30" t="s">
        <v>1783</v>
      </c>
      <c r="M537" s="31">
        <v>45000</v>
      </c>
      <c r="N537" s="32">
        <v>5000</v>
      </c>
      <c r="O537" s="21">
        <v>30000</v>
      </c>
      <c r="P537" s="21">
        <v>0</v>
      </c>
      <c r="Q537" s="21">
        <v>10000</v>
      </c>
      <c r="R537" s="23">
        <v>0</v>
      </c>
    </row>
    <row r="538" spans="1:18" ht="10.5" customHeight="1" x14ac:dyDescent="0.35">
      <c r="A538" s="24" t="s">
        <v>38</v>
      </c>
      <c r="B538" s="33" t="s">
        <v>39</v>
      </c>
      <c r="C538" s="26" t="s">
        <v>2092</v>
      </c>
      <c r="D538" s="13" t="s">
        <v>1784</v>
      </c>
      <c r="E538" s="20" t="s">
        <v>1785</v>
      </c>
      <c r="F538" s="22">
        <v>3400</v>
      </c>
      <c r="G538" s="22">
        <v>0</v>
      </c>
      <c r="H538" s="27" t="s">
        <v>33</v>
      </c>
      <c r="I538" s="40" t="s">
        <v>42</v>
      </c>
      <c r="J538" s="28">
        <v>2012</v>
      </c>
      <c r="K538" s="34" t="s">
        <v>47</v>
      </c>
      <c r="L538" s="38" t="s">
        <v>1513</v>
      </c>
      <c r="M538" s="31">
        <v>75000</v>
      </c>
      <c r="N538" s="32">
        <v>0</v>
      </c>
      <c r="O538" s="21">
        <v>30000</v>
      </c>
      <c r="P538" s="21">
        <v>45000</v>
      </c>
      <c r="Q538" s="21">
        <v>0</v>
      </c>
      <c r="R538" s="23">
        <v>0</v>
      </c>
    </row>
    <row r="539" spans="1:18" ht="10.5" customHeight="1" x14ac:dyDescent="0.35">
      <c r="A539" s="24" t="s">
        <v>100</v>
      </c>
      <c r="B539" s="33" t="s">
        <v>118</v>
      </c>
      <c r="C539" s="26" t="s">
        <v>1786</v>
      </c>
      <c r="D539" s="13" t="s">
        <v>1787</v>
      </c>
      <c r="E539" s="20" t="s">
        <v>1788</v>
      </c>
      <c r="F539" s="22">
        <v>235</v>
      </c>
      <c r="G539" s="22">
        <v>0</v>
      </c>
      <c r="H539" s="27" t="s">
        <v>33</v>
      </c>
      <c r="I539" s="40" t="s">
        <v>42</v>
      </c>
      <c r="J539" s="28">
        <v>2015</v>
      </c>
      <c r="K539" s="29" t="s">
        <v>34</v>
      </c>
      <c r="L539" s="30" t="s">
        <v>1789</v>
      </c>
      <c r="M539" s="31">
        <v>3000</v>
      </c>
      <c r="N539" s="32">
        <v>2000</v>
      </c>
      <c r="O539" s="21">
        <v>1000</v>
      </c>
      <c r="P539" s="35">
        <v>0</v>
      </c>
      <c r="Q539" s="21">
        <v>0</v>
      </c>
      <c r="R539" s="23">
        <v>0</v>
      </c>
    </row>
    <row r="540" spans="1:18" x14ac:dyDescent="0.35">
      <c r="A540" s="24" t="s">
        <v>48</v>
      </c>
      <c r="B540" s="33" t="s">
        <v>49</v>
      </c>
      <c r="C540" s="26" t="s">
        <v>292</v>
      </c>
      <c r="D540" s="13" t="s">
        <v>1790</v>
      </c>
      <c r="E540" s="20" t="s">
        <v>1791</v>
      </c>
      <c r="F540" s="22">
        <v>1400</v>
      </c>
      <c r="G540" s="22">
        <v>0</v>
      </c>
      <c r="H540" s="27" t="s">
        <v>33</v>
      </c>
      <c r="I540" s="40" t="s">
        <v>42</v>
      </c>
      <c r="J540" s="28">
        <v>2012</v>
      </c>
      <c r="K540" s="34" t="s">
        <v>34</v>
      </c>
      <c r="L540" s="30" t="s">
        <v>1792</v>
      </c>
      <c r="M540" s="31">
        <v>32000</v>
      </c>
      <c r="N540" s="32">
        <v>5000</v>
      </c>
      <c r="O540" s="35">
        <v>21000</v>
      </c>
      <c r="P540" s="21">
        <v>0</v>
      </c>
      <c r="Q540" s="21">
        <v>6000</v>
      </c>
      <c r="R540" s="23">
        <v>0</v>
      </c>
    </row>
    <row r="541" spans="1:18" ht="10.5" customHeight="1" x14ac:dyDescent="0.35">
      <c r="A541" s="24" t="s">
        <v>100</v>
      </c>
      <c r="B541" s="33" t="s">
        <v>101</v>
      </c>
      <c r="C541" s="26" t="s">
        <v>1793</v>
      </c>
      <c r="D541" s="13" t="s">
        <v>1794</v>
      </c>
      <c r="E541" s="20" t="s">
        <v>1795</v>
      </c>
      <c r="F541" s="22">
        <v>86</v>
      </c>
      <c r="G541" s="22">
        <v>0</v>
      </c>
      <c r="H541" s="27" t="s">
        <v>33</v>
      </c>
      <c r="I541" s="40" t="s">
        <v>42</v>
      </c>
      <c r="J541" s="28">
        <v>2017</v>
      </c>
      <c r="K541" s="34" t="s">
        <v>34</v>
      </c>
      <c r="L541" s="30" t="s">
        <v>522</v>
      </c>
      <c r="M541" s="31">
        <v>4000</v>
      </c>
      <c r="N541" s="32">
        <v>4000</v>
      </c>
      <c r="O541" s="35">
        <v>0</v>
      </c>
      <c r="P541" s="21">
        <v>0</v>
      </c>
      <c r="Q541" s="21">
        <v>0</v>
      </c>
      <c r="R541" s="23">
        <v>0</v>
      </c>
    </row>
    <row r="542" spans="1:18" x14ac:dyDescent="0.35">
      <c r="A542" s="24" t="s">
        <v>100</v>
      </c>
      <c r="B542" s="33" t="s">
        <v>101</v>
      </c>
      <c r="C542" s="26" t="s">
        <v>1797</v>
      </c>
      <c r="D542" s="13" t="s">
        <v>1798</v>
      </c>
      <c r="E542" s="20" t="s">
        <v>1799</v>
      </c>
      <c r="F542" s="22">
        <v>0</v>
      </c>
      <c r="G542" s="22">
        <v>0</v>
      </c>
      <c r="H542" s="27" t="s">
        <v>615</v>
      </c>
      <c r="I542" s="40" t="s">
        <v>42</v>
      </c>
      <c r="J542" s="28">
        <v>2014</v>
      </c>
      <c r="K542" s="34" t="s">
        <v>34</v>
      </c>
      <c r="L542" s="30" t="s">
        <v>496</v>
      </c>
      <c r="M542" s="31">
        <v>1455</v>
      </c>
      <c r="N542" s="32">
        <v>1455</v>
      </c>
      <c r="O542" s="35">
        <v>0</v>
      </c>
      <c r="P542" s="21">
        <v>0</v>
      </c>
      <c r="Q542" s="21">
        <v>0</v>
      </c>
      <c r="R542" s="23">
        <v>0</v>
      </c>
    </row>
    <row r="543" spans="1:18" ht="10.5" customHeight="1" x14ac:dyDescent="0.35">
      <c r="A543" s="24" t="s">
        <v>30</v>
      </c>
      <c r="B543" s="33" t="s">
        <v>80</v>
      </c>
      <c r="C543" s="26" t="s">
        <v>1800</v>
      </c>
      <c r="D543" s="13" t="s">
        <v>1801</v>
      </c>
      <c r="E543" s="20" t="s">
        <v>1802</v>
      </c>
      <c r="F543" s="22">
        <v>973</v>
      </c>
      <c r="G543" s="22">
        <v>220.00000000000003</v>
      </c>
      <c r="H543" s="27" t="s">
        <v>52</v>
      </c>
      <c r="I543" s="40" t="s">
        <v>42</v>
      </c>
      <c r="J543" s="28">
        <v>2016</v>
      </c>
      <c r="K543" s="29" t="s">
        <v>47</v>
      </c>
      <c r="L543" s="30" t="s">
        <v>1803</v>
      </c>
      <c r="M543" s="31">
        <v>24000</v>
      </c>
      <c r="N543" s="32">
        <v>0</v>
      </c>
      <c r="O543" s="35">
        <v>12000</v>
      </c>
      <c r="P543" s="21">
        <v>0</v>
      </c>
      <c r="Q543" s="35">
        <v>0</v>
      </c>
      <c r="R543" s="23">
        <v>12000</v>
      </c>
    </row>
    <row r="544" spans="1:18" ht="10.5" customHeight="1" x14ac:dyDescent="0.35">
      <c r="A544" s="24" t="s">
        <v>44</v>
      </c>
      <c r="B544" s="33" t="s">
        <v>54</v>
      </c>
      <c r="C544" s="26" t="s">
        <v>1804</v>
      </c>
      <c r="D544" s="13" t="s">
        <v>1805</v>
      </c>
      <c r="E544" s="20" t="s">
        <v>1806</v>
      </c>
      <c r="F544" s="22">
        <v>500</v>
      </c>
      <c r="G544" s="22">
        <v>0</v>
      </c>
      <c r="H544" s="27" t="s">
        <v>33</v>
      </c>
      <c r="I544" s="40" t="s">
        <v>42</v>
      </c>
      <c r="J544" s="28">
        <v>2017</v>
      </c>
      <c r="K544" s="34" t="s">
        <v>34</v>
      </c>
      <c r="L544" s="30" t="s">
        <v>62</v>
      </c>
      <c r="M544" s="31">
        <v>15330</v>
      </c>
      <c r="N544" s="32">
        <v>3650</v>
      </c>
      <c r="O544" s="21">
        <v>11680</v>
      </c>
      <c r="P544" s="21">
        <v>0</v>
      </c>
      <c r="Q544" s="21">
        <v>0</v>
      </c>
      <c r="R544" s="23">
        <v>0</v>
      </c>
    </row>
    <row r="545" spans="1:18" ht="10.5" customHeight="1" x14ac:dyDescent="0.35">
      <c r="A545" s="24" t="s">
        <v>30</v>
      </c>
      <c r="B545" s="33" t="s">
        <v>662</v>
      </c>
      <c r="C545" s="26" t="s">
        <v>1807</v>
      </c>
      <c r="D545" s="13" t="s">
        <v>1808</v>
      </c>
      <c r="E545" s="13" t="s">
        <v>2138</v>
      </c>
      <c r="F545" s="35">
        <v>350</v>
      </c>
      <c r="G545" s="27">
        <v>425</v>
      </c>
      <c r="H545" s="27" t="s">
        <v>52</v>
      </c>
      <c r="I545" s="13" t="s">
        <v>42</v>
      </c>
      <c r="J545" s="28">
        <v>2020</v>
      </c>
      <c r="K545" s="29" t="s">
        <v>47</v>
      </c>
      <c r="L545" s="30" t="s">
        <v>1809</v>
      </c>
      <c r="M545" s="31">
        <v>81012</v>
      </c>
      <c r="N545" s="32">
        <v>0</v>
      </c>
      <c r="O545" s="35">
        <v>32500</v>
      </c>
      <c r="P545" s="35">
        <v>34300</v>
      </c>
      <c r="Q545" s="21">
        <v>14200</v>
      </c>
      <c r="R545" s="23">
        <v>12</v>
      </c>
    </row>
    <row r="546" spans="1:18" x14ac:dyDescent="0.35">
      <c r="A546" s="24" t="s">
        <v>85</v>
      </c>
      <c r="B546" s="33" t="s">
        <v>86</v>
      </c>
      <c r="C546" s="26" t="s">
        <v>1810</v>
      </c>
      <c r="D546" s="13" t="s">
        <v>1811</v>
      </c>
      <c r="E546" s="20" t="s">
        <v>2144</v>
      </c>
      <c r="F546" s="22">
        <v>6250</v>
      </c>
      <c r="G546" s="22">
        <v>495</v>
      </c>
      <c r="H546" s="27" t="s">
        <v>52</v>
      </c>
      <c r="I546" s="40" t="s">
        <v>42</v>
      </c>
      <c r="J546" s="28">
        <v>2015</v>
      </c>
      <c r="K546" s="29" t="s">
        <v>47</v>
      </c>
      <c r="L546" s="30" t="s">
        <v>730</v>
      </c>
      <c r="M546" s="31">
        <v>120000</v>
      </c>
      <c r="N546" s="32">
        <v>48000</v>
      </c>
      <c r="O546" s="35">
        <v>0</v>
      </c>
      <c r="P546" s="21">
        <v>60000</v>
      </c>
      <c r="Q546" s="21">
        <v>0</v>
      </c>
      <c r="R546" s="23">
        <v>12000</v>
      </c>
    </row>
    <row r="547" spans="1:18" ht="10.5" customHeight="1" x14ac:dyDescent="0.35">
      <c r="A547" s="24" t="s">
        <v>94</v>
      </c>
      <c r="B547" s="33" t="s">
        <v>123</v>
      </c>
      <c r="C547" s="26" t="s">
        <v>1812</v>
      </c>
      <c r="D547" s="13" t="s">
        <v>1813</v>
      </c>
      <c r="E547" s="20" t="s">
        <v>1814</v>
      </c>
      <c r="F547" s="22">
        <v>75</v>
      </c>
      <c r="G547" s="22">
        <v>0</v>
      </c>
      <c r="H547" s="27" t="s">
        <v>33</v>
      </c>
      <c r="I547" s="40" t="s">
        <v>42</v>
      </c>
      <c r="J547" s="28">
        <v>2014</v>
      </c>
      <c r="K547" s="29" t="s">
        <v>34</v>
      </c>
      <c r="L547" s="30" t="s">
        <v>339</v>
      </c>
      <c r="M547" s="31">
        <v>10296</v>
      </c>
      <c r="N547" s="32">
        <v>9500</v>
      </c>
      <c r="O547" s="35">
        <v>796</v>
      </c>
      <c r="P547" s="21">
        <v>0</v>
      </c>
      <c r="Q547" s="21">
        <v>0</v>
      </c>
      <c r="R547" s="23">
        <v>0</v>
      </c>
    </row>
    <row r="548" spans="1:18" x14ac:dyDescent="0.35">
      <c r="A548" s="24" t="s">
        <v>38</v>
      </c>
      <c r="B548" s="33" t="s">
        <v>171</v>
      </c>
      <c r="C548" s="26" t="s">
        <v>1815</v>
      </c>
      <c r="D548" s="13" t="s">
        <v>1816</v>
      </c>
      <c r="E548" s="20" t="s">
        <v>1817</v>
      </c>
      <c r="F548" s="22">
        <v>92</v>
      </c>
      <c r="G548" s="22">
        <v>0</v>
      </c>
      <c r="H548" s="27" t="s">
        <v>33</v>
      </c>
      <c r="I548" s="40" t="s">
        <v>42</v>
      </c>
      <c r="J548" s="28">
        <v>2016</v>
      </c>
      <c r="K548" s="29" t="s">
        <v>34</v>
      </c>
      <c r="L548" s="30" t="s">
        <v>522</v>
      </c>
      <c r="M548" s="31">
        <v>4500</v>
      </c>
      <c r="N548" s="32">
        <v>4500</v>
      </c>
      <c r="O548" s="21">
        <v>0</v>
      </c>
      <c r="P548" s="35">
        <v>0</v>
      </c>
      <c r="Q548" s="35">
        <v>0</v>
      </c>
      <c r="R548" s="23">
        <v>0</v>
      </c>
    </row>
    <row r="549" spans="1:18" ht="10.5" customHeight="1" x14ac:dyDescent="0.35">
      <c r="A549" s="24" t="s">
        <v>94</v>
      </c>
      <c r="B549" s="33" t="s">
        <v>123</v>
      </c>
      <c r="C549" s="26" t="s">
        <v>192</v>
      </c>
      <c r="D549" s="13" t="s">
        <v>1818</v>
      </c>
      <c r="E549" s="20" t="s">
        <v>1819</v>
      </c>
      <c r="F549" s="22">
        <v>124</v>
      </c>
      <c r="G549" s="22">
        <v>0</v>
      </c>
      <c r="H549" s="27" t="s">
        <v>33</v>
      </c>
      <c r="I549" s="40" t="s">
        <v>42</v>
      </c>
      <c r="J549" s="28">
        <v>2016</v>
      </c>
      <c r="K549" s="34" t="s">
        <v>34</v>
      </c>
      <c r="L549" s="30" t="s">
        <v>58</v>
      </c>
      <c r="M549" s="31">
        <v>3000</v>
      </c>
      <c r="N549" s="32">
        <v>3000</v>
      </c>
      <c r="O549" s="35">
        <v>0</v>
      </c>
      <c r="P549" s="21">
        <v>0</v>
      </c>
      <c r="Q549" s="35">
        <v>0</v>
      </c>
      <c r="R549" s="23">
        <v>0</v>
      </c>
    </row>
    <row r="550" spans="1:18" ht="10.5" customHeight="1" x14ac:dyDescent="0.35">
      <c r="A550" s="24" t="s">
        <v>63</v>
      </c>
      <c r="B550" s="33" t="s">
        <v>257</v>
      </c>
      <c r="C550" s="26" t="s">
        <v>1820</v>
      </c>
      <c r="D550" s="13" t="s">
        <v>1821</v>
      </c>
      <c r="E550" s="13" t="s">
        <v>1822</v>
      </c>
      <c r="F550" s="35">
        <v>3.5</v>
      </c>
      <c r="G550" s="22">
        <v>0</v>
      </c>
      <c r="H550" s="27" t="s">
        <v>33</v>
      </c>
      <c r="I550" s="40" t="s">
        <v>42</v>
      </c>
      <c r="J550" s="28">
        <v>2012</v>
      </c>
      <c r="K550" s="29" t="s">
        <v>34</v>
      </c>
      <c r="L550" s="30" t="s">
        <v>1823</v>
      </c>
      <c r="M550" s="31">
        <v>150</v>
      </c>
      <c r="N550" s="32">
        <v>150</v>
      </c>
      <c r="O550" s="21">
        <v>0</v>
      </c>
      <c r="P550" s="21">
        <v>0</v>
      </c>
      <c r="Q550" s="21">
        <v>0</v>
      </c>
      <c r="R550" s="23">
        <v>0</v>
      </c>
    </row>
    <row r="551" spans="1:18" ht="10.5" customHeight="1" x14ac:dyDescent="0.35">
      <c r="A551" s="24" t="s">
        <v>38</v>
      </c>
      <c r="B551" s="33" t="s">
        <v>285</v>
      </c>
      <c r="C551" s="26" t="s">
        <v>1824</v>
      </c>
      <c r="D551" s="13" t="s">
        <v>1825</v>
      </c>
      <c r="E551" s="20" t="s">
        <v>1826</v>
      </c>
      <c r="F551" s="22" t="s">
        <v>93</v>
      </c>
      <c r="G551" s="22">
        <v>0</v>
      </c>
      <c r="H551" s="27" t="s">
        <v>2176</v>
      </c>
      <c r="I551" s="40" t="s">
        <v>42</v>
      </c>
      <c r="J551" s="28">
        <v>2015</v>
      </c>
      <c r="K551" s="29" t="s">
        <v>34</v>
      </c>
      <c r="L551" s="30" t="s">
        <v>1827</v>
      </c>
      <c r="M551" s="31">
        <v>0</v>
      </c>
      <c r="N551" s="32">
        <v>0</v>
      </c>
      <c r="O551" s="21">
        <v>0</v>
      </c>
      <c r="P551" s="21">
        <v>0</v>
      </c>
      <c r="Q551" s="21">
        <v>0</v>
      </c>
      <c r="R551" s="23">
        <v>0</v>
      </c>
    </row>
    <row r="552" spans="1:18" ht="10.5" customHeight="1" x14ac:dyDescent="0.35">
      <c r="A552" s="24" t="s">
        <v>38</v>
      </c>
      <c r="B552" s="33" t="s">
        <v>171</v>
      </c>
      <c r="C552" s="26" t="s">
        <v>1828</v>
      </c>
      <c r="D552" s="13" t="s">
        <v>1829</v>
      </c>
      <c r="E552" s="20" t="s">
        <v>1830</v>
      </c>
      <c r="F552" s="22">
        <v>449</v>
      </c>
      <c r="G552" s="22">
        <v>0</v>
      </c>
      <c r="H552" s="27" t="s">
        <v>33</v>
      </c>
      <c r="I552" s="40" t="s">
        <v>42</v>
      </c>
      <c r="J552" s="28">
        <v>2014</v>
      </c>
      <c r="K552" s="29" t="s">
        <v>34</v>
      </c>
      <c r="L552" s="30" t="s">
        <v>1831</v>
      </c>
      <c r="M552" s="31">
        <v>17125</v>
      </c>
      <c r="N552" s="32">
        <v>10000</v>
      </c>
      <c r="O552" s="35">
        <v>7125</v>
      </c>
      <c r="P552" s="21">
        <v>0</v>
      </c>
      <c r="Q552" s="35">
        <v>0</v>
      </c>
      <c r="R552" s="23">
        <v>0</v>
      </c>
    </row>
    <row r="553" spans="1:18" x14ac:dyDescent="0.35">
      <c r="A553" s="24" t="s">
        <v>48</v>
      </c>
      <c r="B553" s="33" t="s">
        <v>71</v>
      </c>
      <c r="C553" s="26" t="s">
        <v>950</v>
      </c>
      <c r="D553" s="13" t="s">
        <v>1832</v>
      </c>
      <c r="E553" s="20" t="s">
        <v>1833</v>
      </c>
      <c r="F553" s="22">
        <v>480.29</v>
      </c>
      <c r="G553" s="22">
        <v>1100</v>
      </c>
      <c r="H553" s="27" t="s">
        <v>52</v>
      </c>
      <c r="I553" s="40" t="s">
        <v>42</v>
      </c>
      <c r="J553" s="28">
        <v>2014</v>
      </c>
      <c r="K553" s="29" t="s">
        <v>34</v>
      </c>
      <c r="L553" s="30" t="s">
        <v>492</v>
      </c>
      <c r="M553" s="31">
        <v>25000</v>
      </c>
      <c r="N553" s="32">
        <v>0</v>
      </c>
      <c r="O553" s="21">
        <v>25000</v>
      </c>
      <c r="P553" s="21">
        <v>0</v>
      </c>
      <c r="Q553" s="35">
        <v>0</v>
      </c>
      <c r="R553" s="23">
        <v>0</v>
      </c>
    </row>
    <row r="554" spans="1:18" x14ac:dyDescent="0.35">
      <c r="A554" s="24" t="s">
        <v>38</v>
      </c>
      <c r="B554" s="33" t="s">
        <v>39</v>
      </c>
      <c r="C554" s="26" t="s">
        <v>1834</v>
      </c>
      <c r="D554" s="13" t="s">
        <v>1834</v>
      </c>
      <c r="E554" s="13" t="s">
        <v>1835</v>
      </c>
      <c r="F554" s="35">
        <v>500</v>
      </c>
      <c r="G554" s="22">
        <v>0</v>
      </c>
      <c r="H554" s="27" t="s">
        <v>33</v>
      </c>
      <c r="I554" s="40" t="s">
        <v>42</v>
      </c>
      <c r="J554" s="28" t="s">
        <v>93</v>
      </c>
      <c r="K554" s="29" t="s">
        <v>34</v>
      </c>
      <c r="L554" s="30" t="s">
        <v>259</v>
      </c>
      <c r="M554" s="31">
        <v>10000</v>
      </c>
      <c r="N554" s="32">
        <v>2000</v>
      </c>
      <c r="O554" s="35">
        <v>8000</v>
      </c>
      <c r="P554" s="21">
        <v>0</v>
      </c>
      <c r="Q554" s="35">
        <v>0</v>
      </c>
      <c r="R554" s="23">
        <v>0</v>
      </c>
    </row>
    <row r="555" spans="1:18" ht="10.5" customHeight="1" x14ac:dyDescent="0.35">
      <c r="A555" s="24" t="s">
        <v>48</v>
      </c>
      <c r="B555" s="33" t="s">
        <v>75</v>
      </c>
      <c r="C555" s="26" t="s">
        <v>1836</v>
      </c>
      <c r="D555" s="13" t="s">
        <v>1837</v>
      </c>
      <c r="E555" s="13" t="s">
        <v>1838</v>
      </c>
      <c r="F555" s="35">
        <v>238</v>
      </c>
      <c r="G555" s="22">
        <v>0</v>
      </c>
      <c r="H555" s="27" t="s">
        <v>33</v>
      </c>
      <c r="I555" s="40" t="s">
        <v>42</v>
      </c>
      <c r="J555" s="28">
        <v>2015</v>
      </c>
      <c r="K555" s="29" t="s">
        <v>34</v>
      </c>
      <c r="L555" s="30" t="s">
        <v>1839</v>
      </c>
      <c r="M555" s="31">
        <v>6500</v>
      </c>
      <c r="N555" s="32">
        <v>0</v>
      </c>
      <c r="O555" s="35">
        <v>2600</v>
      </c>
      <c r="P555" s="21">
        <v>0</v>
      </c>
      <c r="Q555" s="21">
        <v>3900</v>
      </c>
      <c r="R555" s="23">
        <v>0</v>
      </c>
    </row>
    <row r="556" spans="1:18" x14ac:dyDescent="0.35">
      <c r="A556" s="24" t="s">
        <v>38</v>
      </c>
      <c r="B556" s="33" t="s">
        <v>39</v>
      </c>
      <c r="C556" s="26" t="s">
        <v>1000</v>
      </c>
      <c r="D556" s="13" t="s">
        <v>1840</v>
      </c>
      <c r="E556" s="20" t="s">
        <v>1841</v>
      </c>
      <c r="F556" s="22">
        <v>5000</v>
      </c>
      <c r="G556" s="22">
        <v>950</v>
      </c>
      <c r="H556" s="27" t="s">
        <v>214</v>
      </c>
      <c r="I556" s="40" t="s">
        <v>42</v>
      </c>
      <c r="J556" s="28">
        <v>2020</v>
      </c>
      <c r="K556" s="34" t="s">
        <v>47</v>
      </c>
      <c r="L556" s="30" t="s">
        <v>114</v>
      </c>
      <c r="M556" s="31">
        <v>90000</v>
      </c>
      <c r="N556" s="32">
        <v>0</v>
      </c>
      <c r="O556" s="35">
        <v>0</v>
      </c>
      <c r="P556" s="21">
        <v>90000</v>
      </c>
      <c r="Q556" s="35">
        <v>0</v>
      </c>
      <c r="R556" s="23">
        <v>0</v>
      </c>
    </row>
    <row r="557" spans="1:18" ht="10.5" customHeight="1" x14ac:dyDescent="0.35">
      <c r="A557" s="24" t="s">
        <v>94</v>
      </c>
      <c r="B557" s="33" t="s">
        <v>95</v>
      </c>
      <c r="C557" s="26" t="s">
        <v>2068</v>
      </c>
      <c r="D557" s="13" t="s">
        <v>1842</v>
      </c>
      <c r="E557" s="13" t="s">
        <v>1843</v>
      </c>
      <c r="F557" s="22">
        <v>1900</v>
      </c>
      <c r="G557" s="22">
        <v>0</v>
      </c>
      <c r="H557" s="27" t="s">
        <v>33</v>
      </c>
      <c r="I557" s="40" t="s">
        <v>42</v>
      </c>
      <c r="J557" s="28">
        <v>2010</v>
      </c>
      <c r="K557" s="29" t="s">
        <v>47</v>
      </c>
      <c r="L557" s="30" t="s">
        <v>90</v>
      </c>
      <c r="M557" s="31">
        <v>35000</v>
      </c>
      <c r="N557" s="32">
        <v>0</v>
      </c>
      <c r="O557" s="21">
        <v>0</v>
      </c>
      <c r="P557" s="21">
        <v>21000</v>
      </c>
      <c r="Q557" s="21">
        <v>0</v>
      </c>
      <c r="R557" s="23">
        <v>14000</v>
      </c>
    </row>
    <row r="558" spans="1:18" x14ac:dyDescent="0.35">
      <c r="A558" s="24" t="s">
        <v>44</v>
      </c>
      <c r="B558" s="33" t="s">
        <v>106</v>
      </c>
      <c r="C558" s="26" t="s">
        <v>1844</v>
      </c>
      <c r="D558" s="13" t="s">
        <v>1845</v>
      </c>
      <c r="E558" s="20" t="s">
        <v>1846</v>
      </c>
      <c r="F558" s="22">
        <v>500</v>
      </c>
      <c r="G558" s="22">
        <v>0</v>
      </c>
      <c r="H558" s="27" t="s">
        <v>33</v>
      </c>
      <c r="I558" s="40" t="s">
        <v>42</v>
      </c>
      <c r="J558" s="28">
        <v>2017</v>
      </c>
      <c r="K558" s="34" t="s">
        <v>34</v>
      </c>
      <c r="L558" s="30" t="s">
        <v>259</v>
      </c>
      <c r="M558" s="31">
        <v>12775</v>
      </c>
      <c r="N558" s="32">
        <v>5475</v>
      </c>
      <c r="O558" s="35">
        <v>7300</v>
      </c>
      <c r="P558" s="21">
        <v>0</v>
      </c>
      <c r="Q558" s="21">
        <v>0</v>
      </c>
      <c r="R558" s="23">
        <v>0</v>
      </c>
    </row>
    <row r="559" spans="1:18" ht="10.5" customHeight="1" x14ac:dyDescent="0.35">
      <c r="A559" s="24" t="s">
        <v>48</v>
      </c>
      <c r="B559" s="33" t="s">
        <v>49</v>
      </c>
      <c r="C559" s="26" t="s">
        <v>1847</v>
      </c>
      <c r="D559" s="13" t="s">
        <v>1848</v>
      </c>
      <c r="E559" s="20" t="s">
        <v>1849</v>
      </c>
      <c r="F559" s="22">
        <v>1000</v>
      </c>
      <c r="G559" s="22">
        <v>0</v>
      </c>
      <c r="H559" s="27" t="s">
        <v>33</v>
      </c>
      <c r="I559" s="40" t="s">
        <v>42</v>
      </c>
      <c r="J559" s="28" t="s">
        <v>93</v>
      </c>
      <c r="K559" s="29" t="s">
        <v>34</v>
      </c>
      <c r="L559" s="30" t="s">
        <v>1200</v>
      </c>
      <c r="M559" s="31">
        <v>20000</v>
      </c>
      <c r="N559" s="32">
        <v>0</v>
      </c>
      <c r="O559" s="21">
        <v>0</v>
      </c>
      <c r="P559" s="21">
        <v>0</v>
      </c>
      <c r="Q559" s="21">
        <v>20000</v>
      </c>
      <c r="R559" s="23">
        <v>0</v>
      </c>
    </row>
    <row r="560" spans="1:18" ht="10.5" customHeight="1" x14ac:dyDescent="0.35">
      <c r="A560" s="24" t="s">
        <v>100</v>
      </c>
      <c r="B560" s="33" t="s">
        <v>118</v>
      </c>
      <c r="C560" s="26" t="s">
        <v>331</v>
      </c>
      <c r="D560" s="13" t="s">
        <v>1850</v>
      </c>
      <c r="E560" s="20" t="s">
        <v>1851</v>
      </c>
      <c r="F560" s="22">
        <v>1180</v>
      </c>
      <c r="G560" s="22">
        <v>0</v>
      </c>
      <c r="H560" s="27" t="s">
        <v>33</v>
      </c>
      <c r="I560" s="40" t="s">
        <v>42</v>
      </c>
      <c r="J560" s="28">
        <v>2015</v>
      </c>
      <c r="K560" s="34" t="s">
        <v>47</v>
      </c>
      <c r="L560" s="30" t="s">
        <v>152</v>
      </c>
      <c r="M560" s="43">
        <v>22500</v>
      </c>
      <c r="N560" s="32">
        <v>0</v>
      </c>
      <c r="O560" s="35">
        <v>0</v>
      </c>
      <c r="P560" s="21">
        <v>22500</v>
      </c>
      <c r="Q560" s="35">
        <v>0</v>
      </c>
      <c r="R560" s="23">
        <v>0</v>
      </c>
    </row>
    <row r="561" spans="1:18" ht="10.5" customHeight="1" x14ac:dyDescent="0.35">
      <c r="A561" s="24" t="s">
        <v>44</v>
      </c>
      <c r="B561" s="33" t="s">
        <v>106</v>
      </c>
      <c r="C561" s="26" t="s">
        <v>115</v>
      </c>
      <c r="D561" s="13" t="s">
        <v>1852</v>
      </c>
      <c r="E561" s="20" t="s">
        <v>638</v>
      </c>
      <c r="F561" s="22">
        <v>500</v>
      </c>
      <c r="G561" s="22">
        <v>0</v>
      </c>
      <c r="H561" s="27" t="s">
        <v>33</v>
      </c>
      <c r="I561" s="40" t="s">
        <v>42</v>
      </c>
      <c r="J561" s="28">
        <v>2013</v>
      </c>
      <c r="K561" s="29" t="s">
        <v>34</v>
      </c>
      <c r="L561" s="30" t="s">
        <v>179</v>
      </c>
      <c r="M561" s="31">
        <v>17000</v>
      </c>
      <c r="N561" s="32">
        <v>4000</v>
      </c>
      <c r="O561" s="35">
        <v>13000</v>
      </c>
      <c r="P561" s="21">
        <v>0</v>
      </c>
      <c r="Q561" s="21">
        <v>0</v>
      </c>
      <c r="R561" s="23">
        <v>0</v>
      </c>
    </row>
    <row r="562" spans="1:18" ht="10.5" customHeight="1" x14ac:dyDescent="0.35">
      <c r="A562" s="24" t="s">
        <v>44</v>
      </c>
      <c r="B562" s="33" t="s">
        <v>45</v>
      </c>
      <c r="C562" s="26" t="s">
        <v>1853</v>
      </c>
      <c r="D562" s="13" t="s">
        <v>1854</v>
      </c>
      <c r="E562" s="13" t="s">
        <v>1855</v>
      </c>
      <c r="F562" s="22">
        <v>500</v>
      </c>
      <c r="G562" s="22">
        <v>0</v>
      </c>
      <c r="H562" s="27" t="s">
        <v>33</v>
      </c>
      <c r="I562" s="40" t="s">
        <v>42</v>
      </c>
      <c r="J562" s="28">
        <v>2017</v>
      </c>
      <c r="K562" s="34" t="s">
        <v>34</v>
      </c>
      <c r="L562" s="30" t="s">
        <v>110</v>
      </c>
      <c r="M562" s="31">
        <v>19000</v>
      </c>
      <c r="N562" s="32">
        <v>7000</v>
      </c>
      <c r="O562" s="35">
        <v>12000</v>
      </c>
      <c r="P562" s="21">
        <v>0</v>
      </c>
      <c r="Q562" s="35">
        <v>0</v>
      </c>
      <c r="R562" s="23">
        <v>0</v>
      </c>
    </row>
    <row r="563" spans="1:18" ht="10.5" customHeight="1" x14ac:dyDescent="0.35">
      <c r="A563" s="24" t="s">
        <v>30</v>
      </c>
      <c r="B563" s="33" t="s">
        <v>195</v>
      </c>
      <c r="C563" s="26" t="s">
        <v>2055</v>
      </c>
      <c r="D563" s="13" t="s">
        <v>2105</v>
      </c>
      <c r="E563" s="20" t="s">
        <v>1388</v>
      </c>
      <c r="F563" s="22">
        <v>250</v>
      </c>
      <c r="G563" s="22">
        <v>500</v>
      </c>
      <c r="H563" s="27" t="s">
        <v>52</v>
      </c>
      <c r="I563" s="40" t="s">
        <v>42</v>
      </c>
      <c r="J563" s="28">
        <v>2016</v>
      </c>
      <c r="K563" s="34" t="s">
        <v>34</v>
      </c>
      <c r="L563" s="30" t="s">
        <v>1389</v>
      </c>
      <c r="M563" s="31">
        <v>40000</v>
      </c>
      <c r="N563" s="32">
        <v>0</v>
      </c>
      <c r="O563" s="21">
        <v>40000</v>
      </c>
      <c r="P563" s="35">
        <v>0</v>
      </c>
      <c r="Q563" s="21">
        <v>0</v>
      </c>
      <c r="R563" s="23">
        <v>0</v>
      </c>
    </row>
    <row r="564" spans="1:18" ht="10.5" customHeight="1" x14ac:dyDescent="0.35">
      <c r="A564" s="24" t="s">
        <v>85</v>
      </c>
      <c r="B564" s="33" t="s">
        <v>86</v>
      </c>
      <c r="C564" s="26" t="s">
        <v>1658</v>
      </c>
      <c r="D564" s="13" t="s">
        <v>1856</v>
      </c>
      <c r="E564" s="20" t="s">
        <v>1857</v>
      </c>
      <c r="F564" s="22">
        <v>500</v>
      </c>
      <c r="G564" s="22">
        <v>0</v>
      </c>
      <c r="H564" s="27" t="s">
        <v>33</v>
      </c>
      <c r="I564" s="40" t="s">
        <v>42</v>
      </c>
      <c r="J564" s="28">
        <v>2012</v>
      </c>
      <c r="K564" s="29" t="s">
        <v>47</v>
      </c>
      <c r="L564" s="30" t="s">
        <v>461</v>
      </c>
      <c r="M564" s="31">
        <v>10000</v>
      </c>
      <c r="N564" s="32">
        <v>0</v>
      </c>
      <c r="O564" s="21">
        <v>0</v>
      </c>
      <c r="P564" s="35">
        <v>0</v>
      </c>
      <c r="Q564" s="21">
        <v>0</v>
      </c>
      <c r="R564" s="23">
        <v>10000</v>
      </c>
    </row>
    <row r="565" spans="1:18" ht="10.5" customHeight="1" x14ac:dyDescent="0.35">
      <c r="A565" s="24" t="s">
        <v>63</v>
      </c>
      <c r="B565" s="33" t="s">
        <v>205</v>
      </c>
      <c r="C565" s="26" t="s">
        <v>1858</v>
      </c>
      <c r="D565" s="13" t="s">
        <v>1859</v>
      </c>
      <c r="E565" s="20" t="s">
        <v>1860</v>
      </c>
      <c r="F565" s="22">
        <v>499</v>
      </c>
      <c r="G565" s="22" t="s">
        <v>93</v>
      </c>
      <c r="H565" s="27" t="s">
        <v>33</v>
      </c>
      <c r="I565" s="40" t="s">
        <v>42</v>
      </c>
      <c r="J565" s="28">
        <v>2022</v>
      </c>
      <c r="K565" s="29" t="s">
        <v>34</v>
      </c>
      <c r="L565" s="30" t="s">
        <v>1861</v>
      </c>
      <c r="M565" s="31">
        <v>75000</v>
      </c>
      <c r="N565" s="32">
        <v>0</v>
      </c>
      <c r="O565" s="21">
        <v>0</v>
      </c>
      <c r="P565" s="21">
        <v>0</v>
      </c>
      <c r="Q565" s="21">
        <v>0</v>
      </c>
      <c r="R565" s="23">
        <v>0</v>
      </c>
    </row>
    <row r="566" spans="1:18" ht="10.5" customHeight="1" x14ac:dyDescent="0.35">
      <c r="A566" s="24" t="s">
        <v>38</v>
      </c>
      <c r="B566" s="33" t="s">
        <v>171</v>
      </c>
      <c r="C566" s="26" t="s">
        <v>1862</v>
      </c>
      <c r="D566" s="13" t="s">
        <v>1862</v>
      </c>
      <c r="E566" s="20" t="s">
        <v>1863</v>
      </c>
      <c r="F566" s="22">
        <v>495</v>
      </c>
      <c r="G566" s="22">
        <v>0</v>
      </c>
      <c r="H566" s="27" t="s">
        <v>33</v>
      </c>
      <c r="I566" s="40" t="s">
        <v>42</v>
      </c>
      <c r="J566" s="28">
        <v>2014</v>
      </c>
      <c r="K566" s="34" t="s">
        <v>34</v>
      </c>
      <c r="L566" s="30" t="s">
        <v>172</v>
      </c>
      <c r="M566" s="43">
        <v>8300</v>
      </c>
      <c r="N566" s="32">
        <v>1700</v>
      </c>
      <c r="O566" s="35">
        <v>6600</v>
      </c>
      <c r="P566" s="21">
        <v>0</v>
      </c>
      <c r="Q566" s="21">
        <v>0</v>
      </c>
      <c r="R566" s="23">
        <v>0</v>
      </c>
    </row>
    <row r="567" spans="1:18" ht="10.5" customHeight="1" x14ac:dyDescent="0.35">
      <c r="A567" s="24" t="s">
        <v>48</v>
      </c>
      <c r="B567" s="25" t="s">
        <v>542</v>
      </c>
      <c r="C567" s="36" t="s">
        <v>441</v>
      </c>
      <c r="D567" s="13" t="s">
        <v>1864</v>
      </c>
      <c r="E567" s="20" t="s">
        <v>1865</v>
      </c>
      <c r="F567" s="22">
        <v>989</v>
      </c>
      <c r="G567" s="22">
        <v>0</v>
      </c>
      <c r="H567" s="27" t="s">
        <v>33</v>
      </c>
      <c r="I567" s="40" t="s">
        <v>42</v>
      </c>
      <c r="J567" s="28">
        <v>2012</v>
      </c>
      <c r="K567" s="29" t="s">
        <v>34</v>
      </c>
      <c r="L567" s="30" t="s">
        <v>444</v>
      </c>
      <c r="M567" s="31">
        <v>20000</v>
      </c>
      <c r="N567" s="32">
        <v>0</v>
      </c>
      <c r="O567" s="35">
        <v>20000</v>
      </c>
      <c r="P567" s="21">
        <v>0</v>
      </c>
      <c r="Q567" s="21">
        <v>0</v>
      </c>
      <c r="R567" s="23">
        <v>0</v>
      </c>
    </row>
    <row r="568" spans="1:18" ht="10.5" customHeight="1" x14ac:dyDescent="0.35">
      <c r="A568" s="24" t="s">
        <v>44</v>
      </c>
      <c r="B568" s="33" t="s">
        <v>54</v>
      </c>
      <c r="C568" s="26" t="s">
        <v>356</v>
      </c>
      <c r="D568" s="13" t="s">
        <v>1866</v>
      </c>
      <c r="E568" s="20" t="s">
        <v>1867</v>
      </c>
      <c r="F568" s="22">
        <v>3000</v>
      </c>
      <c r="G568" s="22">
        <v>894</v>
      </c>
      <c r="H568" s="27" t="s">
        <v>33</v>
      </c>
      <c r="I568" s="40" t="s">
        <v>42</v>
      </c>
      <c r="J568" s="28">
        <v>2016</v>
      </c>
      <c r="K568" s="34" t="s">
        <v>34</v>
      </c>
      <c r="L568" s="30" t="s">
        <v>1868</v>
      </c>
      <c r="M568" s="31">
        <v>200000</v>
      </c>
      <c r="N568" s="32">
        <v>200000</v>
      </c>
      <c r="O568" s="35">
        <v>0</v>
      </c>
      <c r="P568" s="21">
        <v>0</v>
      </c>
      <c r="Q568" s="21">
        <v>0</v>
      </c>
      <c r="R568" s="23">
        <v>0</v>
      </c>
    </row>
    <row r="569" spans="1:18" ht="10.5" customHeight="1" x14ac:dyDescent="0.35">
      <c r="A569" s="24" t="s">
        <v>44</v>
      </c>
      <c r="B569" s="48" t="s">
        <v>45</v>
      </c>
      <c r="C569" s="26" t="s">
        <v>1869</v>
      </c>
      <c r="D569" s="13" t="s">
        <v>1870</v>
      </c>
      <c r="E569" s="13" t="s">
        <v>46</v>
      </c>
      <c r="F569" s="22">
        <v>750</v>
      </c>
      <c r="G569" s="22">
        <v>0</v>
      </c>
      <c r="H569" s="27" t="s">
        <v>33</v>
      </c>
      <c r="I569" s="13" t="s">
        <v>42</v>
      </c>
      <c r="J569" s="28">
        <v>2014</v>
      </c>
      <c r="K569" s="29" t="s">
        <v>34</v>
      </c>
      <c r="L569" s="30" t="s">
        <v>259</v>
      </c>
      <c r="M569" s="31">
        <v>23800</v>
      </c>
      <c r="N569" s="32">
        <v>7300</v>
      </c>
      <c r="O569" s="35">
        <v>16500</v>
      </c>
      <c r="P569" s="21">
        <v>0</v>
      </c>
      <c r="Q569" s="21">
        <v>0</v>
      </c>
      <c r="R569" s="23">
        <v>0</v>
      </c>
    </row>
    <row r="570" spans="1:18" ht="10.5" customHeight="1" x14ac:dyDescent="0.35">
      <c r="A570" s="24" t="s">
        <v>44</v>
      </c>
      <c r="B570" s="33" t="s">
        <v>45</v>
      </c>
      <c r="C570" s="26" t="s">
        <v>1871</v>
      </c>
      <c r="D570" s="13" t="s">
        <v>1872</v>
      </c>
      <c r="E570" s="20" t="s">
        <v>1873</v>
      </c>
      <c r="F570" s="22">
        <v>1000</v>
      </c>
      <c r="G570" s="22">
        <v>0</v>
      </c>
      <c r="H570" s="27" t="s">
        <v>33</v>
      </c>
      <c r="I570" s="40" t="s">
        <v>42</v>
      </c>
      <c r="J570" s="28">
        <v>2017</v>
      </c>
      <c r="K570" s="29" t="s">
        <v>34</v>
      </c>
      <c r="L570" s="30" t="s">
        <v>1874</v>
      </c>
      <c r="M570" s="31">
        <v>18000</v>
      </c>
      <c r="N570" s="32">
        <v>9000</v>
      </c>
      <c r="O570" s="35">
        <v>9000</v>
      </c>
      <c r="P570" s="21">
        <v>0</v>
      </c>
      <c r="Q570" s="21">
        <v>0</v>
      </c>
      <c r="R570" s="23">
        <v>0</v>
      </c>
    </row>
    <row r="571" spans="1:18" x14ac:dyDescent="0.35">
      <c r="A571" s="24" t="s">
        <v>48</v>
      </c>
      <c r="B571" s="33" t="s">
        <v>542</v>
      </c>
      <c r="C571" s="26" t="s">
        <v>331</v>
      </c>
      <c r="D571" s="13" t="s">
        <v>1875</v>
      </c>
      <c r="E571" s="20" t="s">
        <v>1876</v>
      </c>
      <c r="F571" s="22">
        <v>2000</v>
      </c>
      <c r="G571" s="22">
        <v>0</v>
      </c>
      <c r="H571" s="27" t="s">
        <v>33</v>
      </c>
      <c r="I571" s="40" t="s">
        <v>42</v>
      </c>
      <c r="J571" s="28">
        <v>2005</v>
      </c>
      <c r="K571" s="34" t="s">
        <v>47</v>
      </c>
      <c r="L571" s="30" t="s">
        <v>923</v>
      </c>
      <c r="M571" s="31">
        <v>47000</v>
      </c>
      <c r="N571" s="32">
        <v>12000</v>
      </c>
      <c r="O571" s="21">
        <v>0</v>
      </c>
      <c r="P571" s="35">
        <v>35000</v>
      </c>
      <c r="Q571" s="21">
        <v>0</v>
      </c>
      <c r="R571" s="23">
        <v>0</v>
      </c>
    </row>
    <row r="572" spans="1:18" x14ac:dyDescent="0.35">
      <c r="A572" s="24" t="s">
        <v>100</v>
      </c>
      <c r="B572" s="33" t="s">
        <v>101</v>
      </c>
      <c r="C572" s="26" t="s">
        <v>1877</v>
      </c>
      <c r="D572" s="13" t="s">
        <v>1878</v>
      </c>
      <c r="E572" s="20" t="s">
        <v>1795</v>
      </c>
      <c r="F572" s="22">
        <v>82</v>
      </c>
      <c r="G572" s="22">
        <v>0</v>
      </c>
      <c r="H572" s="27" t="s">
        <v>33</v>
      </c>
      <c r="I572" s="40" t="s">
        <v>42</v>
      </c>
      <c r="J572" s="28">
        <v>2017</v>
      </c>
      <c r="K572" s="29" t="s">
        <v>34</v>
      </c>
      <c r="L572" s="30" t="s">
        <v>522</v>
      </c>
      <c r="M572" s="31">
        <v>4000</v>
      </c>
      <c r="N572" s="32">
        <v>4000</v>
      </c>
      <c r="O572" s="21">
        <v>0</v>
      </c>
      <c r="P572" s="35">
        <v>0</v>
      </c>
      <c r="Q572" s="21">
        <v>0</v>
      </c>
      <c r="R572" s="23">
        <v>0</v>
      </c>
    </row>
    <row r="573" spans="1:18" ht="10.5" customHeight="1" x14ac:dyDescent="0.35">
      <c r="A573" s="24" t="s">
        <v>100</v>
      </c>
      <c r="B573" s="48" t="s">
        <v>101</v>
      </c>
      <c r="C573" s="26" t="s">
        <v>1879</v>
      </c>
      <c r="D573" s="13" t="s">
        <v>1880</v>
      </c>
      <c r="E573" s="13" t="s">
        <v>1881</v>
      </c>
      <c r="F573" s="22">
        <v>92</v>
      </c>
      <c r="G573" s="22">
        <v>0</v>
      </c>
      <c r="H573" s="27" t="s">
        <v>33</v>
      </c>
      <c r="I573" s="13" t="s">
        <v>42</v>
      </c>
      <c r="J573" s="28">
        <v>2016</v>
      </c>
      <c r="K573" s="29" t="s">
        <v>34</v>
      </c>
      <c r="L573" s="30" t="s">
        <v>1882</v>
      </c>
      <c r="M573" s="31">
        <v>4500</v>
      </c>
      <c r="N573" s="32">
        <v>4500</v>
      </c>
      <c r="O573" s="35">
        <v>0</v>
      </c>
      <c r="P573" s="21">
        <v>0</v>
      </c>
      <c r="Q573" s="21">
        <v>0</v>
      </c>
      <c r="R573" s="23">
        <v>0</v>
      </c>
    </row>
    <row r="574" spans="1:18" ht="10.5" customHeight="1" x14ac:dyDescent="0.35">
      <c r="A574" s="24" t="s">
        <v>38</v>
      </c>
      <c r="B574" s="33" t="s">
        <v>171</v>
      </c>
      <c r="C574" s="26" t="s">
        <v>1130</v>
      </c>
      <c r="D574" s="13" t="s">
        <v>1883</v>
      </c>
      <c r="E574" s="20" t="s">
        <v>1884</v>
      </c>
      <c r="F574" s="22">
        <v>500</v>
      </c>
      <c r="G574" s="22">
        <v>0</v>
      </c>
      <c r="H574" s="27" t="s">
        <v>33</v>
      </c>
      <c r="I574" s="40" t="s">
        <v>42</v>
      </c>
      <c r="J574" s="28">
        <v>2008</v>
      </c>
      <c r="K574" s="29" t="s">
        <v>47</v>
      </c>
      <c r="L574" s="30" t="s">
        <v>461</v>
      </c>
      <c r="M574" s="31">
        <v>10000</v>
      </c>
      <c r="N574" s="32">
        <v>0</v>
      </c>
      <c r="O574" s="35">
        <v>0</v>
      </c>
      <c r="P574" s="21">
        <v>0</v>
      </c>
      <c r="Q574" s="21">
        <v>0</v>
      </c>
      <c r="R574" s="23">
        <v>10000</v>
      </c>
    </row>
    <row r="575" spans="1:18" ht="10.5" customHeight="1" x14ac:dyDescent="0.35">
      <c r="A575" s="24" t="s">
        <v>91</v>
      </c>
      <c r="B575" s="33" t="s">
        <v>92</v>
      </c>
      <c r="C575" s="26" t="s">
        <v>1885</v>
      </c>
      <c r="D575" s="13" t="s">
        <v>1886</v>
      </c>
      <c r="E575" s="20" t="s">
        <v>1887</v>
      </c>
      <c r="F575" s="22">
        <v>8</v>
      </c>
      <c r="G575" s="22">
        <v>0</v>
      </c>
      <c r="H575" s="27" t="s">
        <v>33</v>
      </c>
      <c r="I575" s="40" t="s">
        <v>42</v>
      </c>
      <c r="J575" s="28">
        <v>2012</v>
      </c>
      <c r="K575" s="29" t="s">
        <v>47</v>
      </c>
      <c r="L575" s="30" t="s">
        <v>1888</v>
      </c>
      <c r="M575" s="31">
        <v>183</v>
      </c>
      <c r="N575" s="32">
        <v>0</v>
      </c>
      <c r="O575" s="21">
        <v>55</v>
      </c>
      <c r="P575" s="21">
        <v>128</v>
      </c>
      <c r="Q575" s="21">
        <v>0</v>
      </c>
      <c r="R575" s="23">
        <v>0</v>
      </c>
    </row>
    <row r="576" spans="1:18" x14ac:dyDescent="0.35">
      <c r="A576" s="24" t="s">
        <v>100</v>
      </c>
      <c r="B576" s="33" t="s">
        <v>118</v>
      </c>
      <c r="C576" s="26" t="s">
        <v>1889</v>
      </c>
      <c r="D576" s="13" t="s">
        <v>1890</v>
      </c>
      <c r="E576" s="20" t="s">
        <v>1891</v>
      </c>
      <c r="F576" s="22">
        <v>87.5</v>
      </c>
      <c r="G576" s="22">
        <v>0</v>
      </c>
      <c r="H576" s="27" t="s">
        <v>33</v>
      </c>
      <c r="I576" s="40" t="s">
        <v>42</v>
      </c>
      <c r="J576" s="28">
        <v>2016</v>
      </c>
      <c r="K576" s="34" t="s">
        <v>34</v>
      </c>
      <c r="L576" s="30" t="s">
        <v>1043</v>
      </c>
      <c r="M576" s="31">
        <v>4000</v>
      </c>
      <c r="N576" s="32">
        <v>4000</v>
      </c>
      <c r="O576" s="21">
        <v>0</v>
      </c>
      <c r="P576" s="35">
        <v>0</v>
      </c>
      <c r="Q576" s="21">
        <v>0</v>
      </c>
      <c r="R576" s="23">
        <v>0</v>
      </c>
    </row>
    <row r="577" spans="1:18" x14ac:dyDescent="0.35">
      <c r="A577" s="24" t="s">
        <v>35</v>
      </c>
      <c r="B577" s="33" t="s">
        <v>36</v>
      </c>
      <c r="C577" s="26" t="s">
        <v>1892</v>
      </c>
      <c r="D577" s="13" t="s">
        <v>1893</v>
      </c>
      <c r="E577" s="13" t="s">
        <v>1894</v>
      </c>
      <c r="F577" s="35">
        <v>199</v>
      </c>
      <c r="G577" s="22">
        <v>0</v>
      </c>
      <c r="H577" s="27" t="s">
        <v>33</v>
      </c>
      <c r="I577" s="40" t="s">
        <v>42</v>
      </c>
      <c r="J577" s="28">
        <v>2015</v>
      </c>
      <c r="K577" s="29" t="s">
        <v>34</v>
      </c>
      <c r="L577" s="30" t="s">
        <v>691</v>
      </c>
      <c r="M577" s="31">
        <v>8663</v>
      </c>
      <c r="N577" s="32">
        <v>6663</v>
      </c>
      <c r="O577" s="35">
        <v>2000</v>
      </c>
      <c r="P577" s="21">
        <v>0</v>
      </c>
      <c r="Q577" s="21">
        <v>0</v>
      </c>
      <c r="R577" s="23">
        <v>0</v>
      </c>
    </row>
    <row r="578" spans="1:18" x14ac:dyDescent="0.35">
      <c r="A578" s="24" t="s">
        <v>35</v>
      </c>
      <c r="B578" s="33" t="s">
        <v>36</v>
      </c>
      <c r="C578" s="26" t="s">
        <v>1895</v>
      </c>
      <c r="D578" s="13" t="s">
        <v>1895</v>
      </c>
      <c r="E578" s="20" t="s">
        <v>1896</v>
      </c>
      <c r="F578" s="22">
        <v>155</v>
      </c>
      <c r="G578" s="22">
        <v>0</v>
      </c>
      <c r="H578" s="27" t="s">
        <v>33</v>
      </c>
      <c r="I578" s="40" t="s">
        <v>42</v>
      </c>
      <c r="J578" s="28">
        <v>2014</v>
      </c>
      <c r="K578" s="29" t="s">
        <v>34</v>
      </c>
      <c r="L578" s="30" t="s">
        <v>1897</v>
      </c>
      <c r="M578" s="31">
        <v>4495</v>
      </c>
      <c r="N578" s="32">
        <v>2000</v>
      </c>
      <c r="O578" s="21">
        <v>2495</v>
      </c>
      <c r="P578" s="35">
        <v>0</v>
      </c>
      <c r="Q578" s="21">
        <v>0</v>
      </c>
      <c r="R578" s="23">
        <v>0</v>
      </c>
    </row>
    <row r="579" spans="1:18" ht="10.5" customHeight="1" x14ac:dyDescent="0.35">
      <c r="A579" s="24" t="s">
        <v>94</v>
      </c>
      <c r="B579" s="33" t="s">
        <v>143</v>
      </c>
      <c r="C579" s="26" t="s">
        <v>228</v>
      </c>
      <c r="D579" s="13" t="s">
        <v>1898</v>
      </c>
      <c r="E579" s="20" t="s">
        <v>1899</v>
      </c>
      <c r="F579" s="22">
        <v>44</v>
      </c>
      <c r="G579" s="22">
        <v>0</v>
      </c>
      <c r="H579" s="27" t="s">
        <v>33</v>
      </c>
      <c r="I579" s="40" t="s">
        <v>42</v>
      </c>
      <c r="J579" s="28">
        <v>2017</v>
      </c>
      <c r="K579" s="29" t="s">
        <v>34</v>
      </c>
      <c r="L579" s="30" t="s">
        <v>496</v>
      </c>
      <c r="M579" s="31">
        <v>1000</v>
      </c>
      <c r="N579" s="32">
        <v>1000</v>
      </c>
      <c r="O579" s="21">
        <v>0</v>
      </c>
      <c r="P579" s="35">
        <v>0</v>
      </c>
      <c r="Q579" s="21">
        <v>0</v>
      </c>
      <c r="R579" s="23">
        <v>0</v>
      </c>
    </row>
    <row r="580" spans="1:18" ht="10.5" customHeight="1" x14ac:dyDescent="0.35">
      <c r="A580" s="24" t="s">
        <v>85</v>
      </c>
      <c r="B580" s="25" t="s">
        <v>209</v>
      </c>
      <c r="C580" s="36" t="s">
        <v>2094</v>
      </c>
      <c r="D580" s="13" t="s">
        <v>1900</v>
      </c>
      <c r="E580" s="20" t="s">
        <v>1901</v>
      </c>
      <c r="F580" s="22">
        <v>440</v>
      </c>
      <c r="G580" s="22">
        <v>495.00000000000006</v>
      </c>
      <c r="H580" s="27" t="s">
        <v>52</v>
      </c>
      <c r="I580" s="40" t="s">
        <v>42</v>
      </c>
      <c r="J580" s="28">
        <v>2013</v>
      </c>
      <c r="K580" s="34" t="s">
        <v>34</v>
      </c>
      <c r="L580" s="38" t="s">
        <v>267</v>
      </c>
      <c r="M580" s="31">
        <v>40000</v>
      </c>
      <c r="N580" s="32">
        <v>0</v>
      </c>
      <c r="O580" s="21">
        <v>40000</v>
      </c>
      <c r="P580" s="35">
        <v>0</v>
      </c>
      <c r="Q580" s="21">
        <v>0</v>
      </c>
      <c r="R580" s="23">
        <v>0</v>
      </c>
    </row>
    <row r="581" spans="1:18" x14ac:dyDescent="0.35">
      <c r="A581" s="24" t="s">
        <v>100</v>
      </c>
      <c r="B581" s="25" t="s">
        <v>101</v>
      </c>
      <c r="C581" s="26" t="s">
        <v>331</v>
      </c>
      <c r="D581" s="13" t="s">
        <v>1902</v>
      </c>
      <c r="E581" s="20" t="s">
        <v>1903</v>
      </c>
      <c r="F581" s="22">
        <v>3700</v>
      </c>
      <c r="G581" s="22">
        <v>0</v>
      </c>
      <c r="H581" s="27" t="s">
        <v>33</v>
      </c>
      <c r="I581" s="40" t="s">
        <v>42</v>
      </c>
      <c r="J581" s="28">
        <v>2014</v>
      </c>
      <c r="K581" s="34" t="s">
        <v>47</v>
      </c>
      <c r="L581" s="30" t="s">
        <v>152</v>
      </c>
      <c r="M581" s="43">
        <v>22500</v>
      </c>
      <c r="N581" s="32">
        <v>0</v>
      </c>
      <c r="O581" s="35">
        <v>0</v>
      </c>
      <c r="P581" s="21">
        <v>22500</v>
      </c>
      <c r="Q581" s="21">
        <v>0</v>
      </c>
      <c r="R581" s="23">
        <v>0</v>
      </c>
    </row>
    <row r="582" spans="1:18" ht="10.5" customHeight="1" x14ac:dyDescent="0.35">
      <c r="A582" s="24" t="s">
        <v>38</v>
      </c>
      <c r="B582" s="33" t="s">
        <v>39</v>
      </c>
      <c r="C582" s="26" t="s">
        <v>1904</v>
      </c>
      <c r="D582" s="13" t="s">
        <v>1905</v>
      </c>
      <c r="E582" s="13" t="s">
        <v>1906</v>
      </c>
      <c r="F582" s="22">
        <v>100</v>
      </c>
      <c r="G582" s="22">
        <v>0</v>
      </c>
      <c r="H582" s="27" t="s">
        <v>33</v>
      </c>
      <c r="I582" s="40" t="s">
        <v>42</v>
      </c>
      <c r="J582" s="28">
        <v>1994</v>
      </c>
      <c r="K582" s="29" t="s">
        <v>34</v>
      </c>
      <c r="L582" s="30" t="s">
        <v>58</v>
      </c>
      <c r="M582" s="31">
        <v>6000</v>
      </c>
      <c r="N582" s="32">
        <v>6000</v>
      </c>
      <c r="O582" s="35">
        <v>0</v>
      </c>
      <c r="P582" s="21">
        <v>0</v>
      </c>
      <c r="Q582" s="21">
        <v>0</v>
      </c>
      <c r="R582" s="23">
        <v>0</v>
      </c>
    </row>
    <row r="583" spans="1:18" ht="10.5" customHeight="1" x14ac:dyDescent="0.35">
      <c r="A583" s="24" t="s">
        <v>91</v>
      </c>
      <c r="B583" s="33" t="s">
        <v>202</v>
      </c>
      <c r="C583" s="26" t="s">
        <v>244</v>
      </c>
      <c r="D583" s="13" t="s">
        <v>1907</v>
      </c>
      <c r="E583" s="20" t="s">
        <v>246</v>
      </c>
      <c r="F583" s="22">
        <v>2400</v>
      </c>
      <c r="G583" s="22" t="s">
        <v>93</v>
      </c>
      <c r="H583" s="27" t="s">
        <v>33</v>
      </c>
      <c r="I583" s="40" t="s">
        <v>42</v>
      </c>
      <c r="J583" s="28">
        <v>2013</v>
      </c>
      <c r="K583" s="34" t="s">
        <v>47</v>
      </c>
      <c r="L583" s="30" t="s">
        <v>152</v>
      </c>
      <c r="M583" s="31">
        <v>50000</v>
      </c>
      <c r="N583" s="32">
        <v>0</v>
      </c>
      <c r="O583" s="35">
        <v>0</v>
      </c>
      <c r="P583" s="21">
        <v>50000</v>
      </c>
      <c r="Q583" s="21">
        <v>0</v>
      </c>
      <c r="R583" s="23">
        <v>0</v>
      </c>
    </row>
    <row r="584" spans="1:18" ht="10.5" customHeight="1" x14ac:dyDescent="0.35">
      <c r="A584" s="24" t="s">
        <v>63</v>
      </c>
      <c r="B584" s="33" t="s">
        <v>257</v>
      </c>
      <c r="C584" s="26" t="s">
        <v>262</v>
      </c>
      <c r="D584" s="13" t="s">
        <v>1908</v>
      </c>
      <c r="E584" s="20" t="s">
        <v>1909</v>
      </c>
      <c r="F584" s="22">
        <v>1875</v>
      </c>
      <c r="G584" s="22">
        <v>0</v>
      </c>
      <c r="H584" s="27" t="s">
        <v>33</v>
      </c>
      <c r="I584" s="40" t="s">
        <v>42</v>
      </c>
      <c r="J584" s="28">
        <v>2013</v>
      </c>
      <c r="K584" s="29" t="s">
        <v>47</v>
      </c>
      <c r="L584" s="30" t="s">
        <v>152</v>
      </c>
      <c r="M584" s="31">
        <v>30000</v>
      </c>
      <c r="N584" s="32">
        <v>0</v>
      </c>
      <c r="O584" s="21">
        <v>0</v>
      </c>
      <c r="P584" s="21">
        <v>30000</v>
      </c>
      <c r="Q584" s="21">
        <v>0</v>
      </c>
      <c r="R584" s="23">
        <v>0</v>
      </c>
    </row>
    <row r="585" spans="1:18" ht="10.5" customHeight="1" x14ac:dyDescent="0.35">
      <c r="A585" s="24" t="s">
        <v>35</v>
      </c>
      <c r="B585" s="33" t="s">
        <v>263</v>
      </c>
      <c r="C585" s="26" t="s">
        <v>405</v>
      </c>
      <c r="D585" s="13" t="s">
        <v>1910</v>
      </c>
      <c r="E585" s="20" t="s">
        <v>1911</v>
      </c>
      <c r="F585" s="22">
        <v>1500</v>
      </c>
      <c r="G585" s="22">
        <v>0</v>
      </c>
      <c r="H585" s="27" t="s">
        <v>33</v>
      </c>
      <c r="I585" s="40" t="s">
        <v>42</v>
      </c>
      <c r="J585" s="28">
        <v>2004</v>
      </c>
      <c r="K585" s="29" t="s">
        <v>47</v>
      </c>
      <c r="L585" s="30" t="s">
        <v>372</v>
      </c>
      <c r="M585" s="31">
        <v>50000</v>
      </c>
      <c r="N585" s="32">
        <v>0</v>
      </c>
      <c r="O585" s="35">
        <v>0</v>
      </c>
      <c r="P585" s="21">
        <v>30000</v>
      </c>
      <c r="Q585" s="21">
        <v>0</v>
      </c>
      <c r="R585" s="23">
        <v>20000</v>
      </c>
    </row>
    <row r="586" spans="1:18" ht="10.5" customHeight="1" x14ac:dyDescent="0.35">
      <c r="A586" s="24" t="s">
        <v>91</v>
      </c>
      <c r="B586" s="33" t="s">
        <v>383</v>
      </c>
      <c r="C586" s="26" t="s">
        <v>1912</v>
      </c>
      <c r="D586" s="13" t="s">
        <v>1913</v>
      </c>
      <c r="E586" s="20" t="s">
        <v>1914</v>
      </c>
      <c r="F586" s="22">
        <v>470</v>
      </c>
      <c r="G586" s="22">
        <v>0</v>
      </c>
      <c r="H586" s="27" t="s">
        <v>33</v>
      </c>
      <c r="I586" s="40" t="s">
        <v>42</v>
      </c>
      <c r="J586" s="28">
        <v>2015</v>
      </c>
      <c r="K586" s="29" t="s">
        <v>34</v>
      </c>
      <c r="L586" s="30" t="s">
        <v>444</v>
      </c>
      <c r="M586" s="31">
        <v>8760</v>
      </c>
      <c r="N586" s="32">
        <v>0</v>
      </c>
      <c r="O586" s="35">
        <v>8760</v>
      </c>
      <c r="P586" s="35">
        <v>0</v>
      </c>
      <c r="Q586" s="21">
        <v>0</v>
      </c>
      <c r="R586" s="23">
        <v>0</v>
      </c>
    </row>
    <row r="587" spans="1:18" x14ac:dyDescent="0.35">
      <c r="A587" s="24" t="s">
        <v>373</v>
      </c>
      <c r="B587" s="33" t="s">
        <v>1390</v>
      </c>
      <c r="C587" s="26" t="s">
        <v>1915</v>
      </c>
      <c r="D587" s="13" t="s">
        <v>1916</v>
      </c>
      <c r="E587" s="13" t="s">
        <v>1917</v>
      </c>
      <c r="F587" s="35">
        <v>499</v>
      </c>
      <c r="G587" s="27">
        <v>650</v>
      </c>
      <c r="H587" s="27" t="s">
        <v>52</v>
      </c>
      <c r="I587" s="40" t="s">
        <v>42</v>
      </c>
      <c r="J587" s="28">
        <v>2020</v>
      </c>
      <c r="K587" s="29" t="s">
        <v>47</v>
      </c>
      <c r="L587" s="30" t="s">
        <v>152</v>
      </c>
      <c r="M587" s="31">
        <v>70000</v>
      </c>
      <c r="N587" s="32">
        <v>0</v>
      </c>
      <c r="O587" s="21">
        <v>0</v>
      </c>
      <c r="P587" s="21">
        <v>50000</v>
      </c>
      <c r="Q587" s="21">
        <v>0</v>
      </c>
      <c r="R587" s="23">
        <v>20000</v>
      </c>
    </row>
    <row r="588" spans="1:18" x14ac:dyDescent="0.35">
      <c r="A588" s="24" t="s">
        <v>100</v>
      </c>
      <c r="B588" s="33" t="s">
        <v>118</v>
      </c>
      <c r="C588" s="26" t="s">
        <v>1918</v>
      </c>
      <c r="D588" s="13" t="s">
        <v>1919</v>
      </c>
      <c r="E588" s="20" t="s">
        <v>1920</v>
      </c>
      <c r="F588" s="22">
        <v>227</v>
      </c>
      <c r="G588" s="22">
        <v>0</v>
      </c>
      <c r="H588" s="27" t="s">
        <v>33</v>
      </c>
      <c r="I588" s="40" t="s">
        <v>42</v>
      </c>
      <c r="J588" s="28">
        <v>2015</v>
      </c>
      <c r="K588" s="29" t="s">
        <v>34</v>
      </c>
      <c r="L588" s="30" t="s">
        <v>1921</v>
      </c>
      <c r="M588" s="31">
        <v>5325</v>
      </c>
      <c r="N588" s="32">
        <v>1325</v>
      </c>
      <c r="O588" s="21">
        <v>4000</v>
      </c>
      <c r="P588" s="35">
        <v>0</v>
      </c>
      <c r="Q588" s="21">
        <v>0</v>
      </c>
      <c r="R588" s="23">
        <v>0</v>
      </c>
    </row>
    <row r="589" spans="1:18" ht="10.5" customHeight="1" x14ac:dyDescent="0.35">
      <c r="A589" s="24" t="s">
        <v>373</v>
      </c>
      <c r="B589" s="33" t="s">
        <v>594</v>
      </c>
      <c r="C589" s="26" t="s">
        <v>1444</v>
      </c>
      <c r="D589" s="13" t="s">
        <v>2112</v>
      </c>
      <c r="E589" s="20" t="s">
        <v>1445</v>
      </c>
      <c r="F589" s="22">
        <v>1560</v>
      </c>
      <c r="G589" s="22">
        <v>660</v>
      </c>
      <c r="H589" s="27" t="s">
        <v>52</v>
      </c>
      <c r="I589" s="40" t="s">
        <v>42</v>
      </c>
      <c r="J589" s="28">
        <v>2013</v>
      </c>
      <c r="K589" s="34" t="s">
        <v>47</v>
      </c>
      <c r="L589" s="30" t="s">
        <v>152</v>
      </c>
      <c r="M589" s="46">
        <v>115000</v>
      </c>
      <c r="N589" s="32">
        <v>0</v>
      </c>
      <c r="O589" s="21">
        <v>0</v>
      </c>
      <c r="P589" s="35">
        <v>115000</v>
      </c>
      <c r="Q589" s="21">
        <v>0</v>
      </c>
      <c r="R589" s="23">
        <v>0</v>
      </c>
    </row>
    <row r="590" spans="1:18" x14ac:dyDescent="0.35">
      <c r="A590" s="24" t="s">
        <v>38</v>
      </c>
      <c r="B590" s="33" t="s">
        <v>39</v>
      </c>
      <c r="C590" s="26" t="s">
        <v>1922</v>
      </c>
      <c r="D590" s="13" t="s">
        <v>1923</v>
      </c>
      <c r="E590" s="13" t="s">
        <v>1924</v>
      </c>
      <c r="F590" s="22">
        <v>475</v>
      </c>
      <c r="G590" s="22">
        <v>0</v>
      </c>
      <c r="H590" s="27" t="s">
        <v>33</v>
      </c>
      <c r="I590" s="40" t="s">
        <v>42</v>
      </c>
      <c r="J590" s="28">
        <v>2016</v>
      </c>
      <c r="K590" s="29" t="s">
        <v>34</v>
      </c>
      <c r="L590" s="30" t="s">
        <v>1095</v>
      </c>
      <c r="M590" s="31">
        <v>13000</v>
      </c>
      <c r="N590" s="32">
        <v>9000</v>
      </c>
      <c r="O590" s="21">
        <v>4000</v>
      </c>
      <c r="P590" s="21">
        <v>0</v>
      </c>
      <c r="Q590" s="35">
        <v>0</v>
      </c>
      <c r="R590" s="23">
        <v>0</v>
      </c>
    </row>
    <row r="591" spans="1:18" x14ac:dyDescent="0.35">
      <c r="A591" s="24" t="s">
        <v>85</v>
      </c>
      <c r="B591" s="33" t="s">
        <v>86</v>
      </c>
      <c r="C591" s="26" t="s">
        <v>333</v>
      </c>
      <c r="D591" s="13" t="s">
        <v>1925</v>
      </c>
      <c r="E591" s="20" t="s">
        <v>1926</v>
      </c>
      <c r="F591" s="22">
        <v>1200</v>
      </c>
      <c r="G591" s="22">
        <v>0</v>
      </c>
      <c r="H591" s="27" t="s">
        <v>33</v>
      </c>
      <c r="I591" s="40" t="s">
        <v>42</v>
      </c>
      <c r="J591" s="28">
        <v>2014</v>
      </c>
      <c r="K591" s="34" t="s">
        <v>34</v>
      </c>
      <c r="L591" s="30" t="s">
        <v>1927</v>
      </c>
      <c r="M591" s="31">
        <v>16000</v>
      </c>
      <c r="N591" s="32">
        <v>16000</v>
      </c>
      <c r="O591" s="35">
        <v>0</v>
      </c>
      <c r="P591" s="21">
        <v>0</v>
      </c>
      <c r="Q591" s="21">
        <v>0</v>
      </c>
      <c r="R591" s="23">
        <v>0</v>
      </c>
    </row>
    <row r="592" spans="1:18" ht="10.5" customHeight="1" x14ac:dyDescent="0.35">
      <c r="A592" s="24" t="s">
        <v>48</v>
      </c>
      <c r="B592" s="33" t="s">
        <v>71</v>
      </c>
      <c r="C592" s="42" t="s">
        <v>279</v>
      </c>
      <c r="D592" s="13" t="s">
        <v>1928</v>
      </c>
      <c r="E592" s="13" t="s">
        <v>1929</v>
      </c>
      <c r="F592" s="22">
        <v>100</v>
      </c>
      <c r="G592" s="22">
        <v>0</v>
      </c>
      <c r="H592" s="27" t="s">
        <v>33</v>
      </c>
      <c r="I592" s="40" t="s">
        <v>42</v>
      </c>
      <c r="J592" s="28">
        <v>2008</v>
      </c>
      <c r="K592" s="34" t="s">
        <v>47</v>
      </c>
      <c r="L592" s="30" t="s">
        <v>1930</v>
      </c>
      <c r="M592" s="31">
        <v>6000</v>
      </c>
      <c r="N592" s="32">
        <v>600</v>
      </c>
      <c r="O592" s="21">
        <v>0</v>
      </c>
      <c r="P592" s="21">
        <v>2400</v>
      </c>
      <c r="Q592" s="35">
        <v>0</v>
      </c>
      <c r="R592" s="23">
        <v>3000</v>
      </c>
    </row>
    <row r="593" spans="1:18" x14ac:dyDescent="0.35">
      <c r="A593" s="24" t="s">
        <v>85</v>
      </c>
      <c r="B593" s="33" t="s">
        <v>252</v>
      </c>
      <c r="C593" s="26" t="s">
        <v>1931</v>
      </c>
      <c r="D593" s="13" t="s">
        <v>1932</v>
      </c>
      <c r="E593" s="20" t="s">
        <v>1933</v>
      </c>
      <c r="F593" s="22">
        <v>244</v>
      </c>
      <c r="G593" s="22">
        <v>0</v>
      </c>
      <c r="H593" s="27" t="s">
        <v>33</v>
      </c>
      <c r="I593" s="40" t="s">
        <v>42</v>
      </c>
      <c r="J593" s="28">
        <v>2015</v>
      </c>
      <c r="K593" s="29" t="s">
        <v>34</v>
      </c>
      <c r="L593" s="30" t="s">
        <v>1934</v>
      </c>
      <c r="M593" s="31">
        <v>7900</v>
      </c>
      <c r="N593" s="32">
        <v>1700</v>
      </c>
      <c r="O593" s="35">
        <v>2500</v>
      </c>
      <c r="P593" s="21">
        <v>0</v>
      </c>
      <c r="Q593" s="21">
        <v>3700</v>
      </c>
      <c r="R593" s="23">
        <v>0</v>
      </c>
    </row>
    <row r="594" spans="1:18" x14ac:dyDescent="0.35">
      <c r="A594" s="24" t="s">
        <v>85</v>
      </c>
      <c r="B594" s="33" t="s">
        <v>252</v>
      </c>
      <c r="C594" s="26" t="s">
        <v>1937</v>
      </c>
      <c r="D594" s="13" t="s">
        <v>1938</v>
      </c>
      <c r="E594" s="13" t="s">
        <v>1939</v>
      </c>
      <c r="F594" s="35">
        <v>148</v>
      </c>
      <c r="G594" s="22">
        <v>0</v>
      </c>
      <c r="H594" s="27" t="s">
        <v>33</v>
      </c>
      <c r="I594" s="40" t="s">
        <v>42</v>
      </c>
      <c r="J594" s="28">
        <v>2016</v>
      </c>
      <c r="K594" s="29" t="s">
        <v>34</v>
      </c>
      <c r="L594" s="30" t="s">
        <v>1940</v>
      </c>
      <c r="M594" s="31">
        <v>4680</v>
      </c>
      <c r="N594" s="32">
        <v>2340</v>
      </c>
      <c r="O594" s="21">
        <v>2340</v>
      </c>
      <c r="P594" s="21">
        <v>0</v>
      </c>
      <c r="Q594" s="21">
        <v>0</v>
      </c>
      <c r="R594" s="23">
        <v>0</v>
      </c>
    </row>
    <row r="595" spans="1:18" x14ac:dyDescent="0.35">
      <c r="A595" s="24" t="s">
        <v>38</v>
      </c>
      <c r="B595" s="33" t="s">
        <v>212</v>
      </c>
      <c r="C595" s="26" t="s">
        <v>508</v>
      </c>
      <c r="D595" s="13" t="s">
        <v>1942</v>
      </c>
      <c r="E595" s="20" t="s">
        <v>1943</v>
      </c>
      <c r="F595" s="22">
        <v>500</v>
      </c>
      <c r="G595" s="22">
        <v>375</v>
      </c>
      <c r="H595" s="27" t="s">
        <v>52</v>
      </c>
      <c r="I595" s="40" t="s">
        <v>42</v>
      </c>
      <c r="J595" s="28">
        <v>2016</v>
      </c>
      <c r="K595" s="29" t="s">
        <v>47</v>
      </c>
      <c r="L595" s="30" t="s">
        <v>152</v>
      </c>
      <c r="M595" s="31">
        <v>50000</v>
      </c>
      <c r="N595" s="32">
        <v>0</v>
      </c>
      <c r="O595" s="21">
        <v>0</v>
      </c>
      <c r="P595" s="21">
        <v>50000</v>
      </c>
      <c r="Q595" s="21">
        <v>0</v>
      </c>
      <c r="R595" s="23">
        <v>0</v>
      </c>
    </row>
    <row r="596" spans="1:18" ht="10.5" customHeight="1" x14ac:dyDescent="0.35">
      <c r="A596" s="24" t="s">
        <v>373</v>
      </c>
      <c r="B596" s="33" t="s">
        <v>374</v>
      </c>
      <c r="C596" s="26" t="s">
        <v>1944</v>
      </c>
      <c r="D596" s="13" t="s">
        <v>1945</v>
      </c>
      <c r="E596" s="20" t="s">
        <v>1946</v>
      </c>
      <c r="F596" s="22">
        <v>123</v>
      </c>
      <c r="G596" s="22">
        <v>0</v>
      </c>
      <c r="H596" s="27" t="s">
        <v>33</v>
      </c>
      <c r="I596" s="13" t="s">
        <v>42</v>
      </c>
      <c r="J596" s="28">
        <v>2017</v>
      </c>
      <c r="K596" s="29" t="s">
        <v>34</v>
      </c>
      <c r="L596" s="30" t="s">
        <v>156</v>
      </c>
      <c r="M596" s="31">
        <v>5000</v>
      </c>
      <c r="N596" s="32">
        <v>3500</v>
      </c>
      <c r="O596" s="21">
        <v>1500</v>
      </c>
      <c r="P596" s="35">
        <v>0</v>
      </c>
      <c r="Q596" s="21">
        <v>0</v>
      </c>
      <c r="R596" s="23">
        <v>0</v>
      </c>
    </row>
    <row r="597" spans="1:18" ht="10.5" customHeight="1" x14ac:dyDescent="0.35">
      <c r="A597" s="24" t="s">
        <v>91</v>
      </c>
      <c r="B597" s="33" t="s">
        <v>261</v>
      </c>
      <c r="C597" s="26" t="s">
        <v>244</v>
      </c>
      <c r="D597" s="13" t="s">
        <v>1947</v>
      </c>
      <c r="E597" s="20" t="s">
        <v>1948</v>
      </c>
      <c r="F597" s="22">
        <v>2400</v>
      </c>
      <c r="G597" s="22">
        <v>0</v>
      </c>
      <c r="H597" s="27" t="s">
        <v>33</v>
      </c>
      <c r="I597" s="40" t="s">
        <v>42</v>
      </c>
      <c r="J597" s="28">
        <v>2014</v>
      </c>
      <c r="K597" s="34" t="s">
        <v>47</v>
      </c>
      <c r="L597" s="30" t="s">
        <v>152</v>
      </c>
      <c r="M597" s="31">
        <v>50000</v>
      </c>
      <c r="N597" s="32">
        <v>0</v>
      </c>
      <c r="O597" s="21">
        <v>0</v>
      </c>
      <c r="P597" s="35">
        <v>50000</v>
      </c>
      <c r="Q597" s="21">
        <v>0</v>
      </c>
      <c r="R597" s="23">
        <v>0</v>
      </c>
    </row>
    <row r="598" spans="1:18" ht="10.5" customHeight="1" x14ac:dyDescent="0.35">
      <c r="A598" s="24" t="s">
        <v>30</v>
      </c>
      <c r="B598" s="33" t="s">
        <v>80</v>
      </c>
      <c r="C598" s="26" t="s">
        <v>1949</v>
      </c>
      <c r="D598" s="13" t="s">
        <v>1950</v>
      </c>
      <c r="E598" s="20" t="s">
        <v>1951</v>
      </c>
      <c r="F598" s="22">
        <v>950</v>
      </c>
      <c r="G598" s="22">
        <v>0</v>
      </c>
      <c r="H598" s="27" t="s">
        <v>33</v>
      </c>
      <c r="I598" s="40" t="s">
        <v>42</v>
      </c>
      <c r="J598" s="28">
        <v>2015</v>
      </c>
      <c r="K598" s="29" t="s">
        <v>34</v>
      </c>
      <c r="L598" s="30" t="s">
        <v>267</v>
      </c>
      <c r="M598" s="31">
        <v>20000</v>
      </c>
      <c r="N598" s="32">
        <v>0</v>
      </c>
      <c r="O598" s="21">
        <v>20000</v>
      </c>
      <c r="P598" s="21">
        <v>0</v>
      </c>
      <c r="Q598" s="21">
        <v>0</v>
      </c>
      <c r="R598" s="23">
        <v>0</v>
      </c>
    </row>
    <row r="599" spans="1:18" ht="10.5" customHeight="1" x14ac:dyDescent="0.35">
      <c r="A599" s="24" t="s">
        <v>91</v>
      </c>
      <c r="B599" s="33" t="s">
        <v>128</v>
      </c>
      <c r="C599" s="26" t="s">
        <v>2080</v>
      </c>
      <c r="D599" s="13" t="s">
        <v>2123</v>
      </c>
      <c r="E599" s="20" t="s">
        <v>1952</v>
      </c>
      <c r="F599" s="22">
        <v>3200</v>
      </c>
      <c r="G599" s="22">
        <v>0</v>
      </c>
      <c r="H599" s="27" t="s">
        <v>33</v>
      </c>
      <c r="I599" s="40" t="s">
        <v>42</v>
      </c>
      <c r="J599" s="28">
        <v>2013</v>
      </c>
      <c r="K599" s="29" t="s">
        <v>47</v>
      </c>
      <c r="L599" s="30" t="s">
        <v>152</v>
      </c>
      <c r="M599" s="31">
        <v>96000</v>
      </c>
      <c r="N599" s="32">
        <v>0</v>
      </c>
      <c r="O599" s="21">
        <v>0</v>
      </c>
      <c r="P599" s="35">
        <v>96000</v>
      </c>
      <c r="Q599" s="21">
        <v>0</v>
      </c>
      <c r="R599" s="23">
        <v>0</v>
      </c>
    </row>
    <row r="600" spans="1:18" x14ac:dyDescent="0.35">
      <c r="A600" s="24" t="s">
        <v>30</v>
      </c>
      <c r="B600" s="48" t="s">
        <v>195</v>
      </c>
      <c r="C600" s="26" t="s">
        <v>1953</v>
      </c>
      <c r="D600" s="13" t="s">
        <v>1954</v>
      </c>
      <c r="E600" s="13" t="s">
        <v>1955</v>
      </c>
      <c r="F600" s="22">
        <v>800</v>
      </c>
      <c r="G600" s="22">
        <v>0</v>
      </c>
      <c r="H600" s="27" t="s">
        <v>33</v>
      </c>
      <c r="I600" s="13" t="s">
        <v>42</v>
      </c>
      <c r="J600" s="28">
        <v>2016</v>
      </c>
      <c r="K600" s="29" t="s">
        <v>34</v>
      </c>
      <c r="L600" s="30" t="s">
        <v>1406</v>
      </c>
      <c r="M600" s="31">
        <v>25000</v>
      </c>
      <c r="N600" s="32">
        <v>10000</v>
      </c>
      <c r="O600" s="35">
        <v>15000</v>
      </c>
      <c r="P600" s="21">
        <v>0</v>
      </c>
      <c r="Q600" s="21">
        <v>0</v>
      </c>
      <c r="R600" s="23">
        <v>0</v>
      </c>
    </row>
    <row r="601" spans="1:18" x14ac:dyDescent="0.35">
      <c r="A601" s="24" t="s">
        <v>30</v>
      </c>
      <c r="B601" s="33" t="s">
        <v>195</v>
      </c>
      <c r="C601" s="26" t="s">
        <v>338</v>
      </c>
      <c r="D601" s="13" t="s">
        <v>1956</v>
      </c>
      <c r="E601" s="20" t="s">
        <v>1957</v>
      </c>
      <c r="F601" s="22">
        <v>125</v>
      </c>
      <c r="G601" s="22">
        <v>0</v>
      </c>
      <c r="H601" s="27" t="s">
        <v>33</v>
      </c>
      <c r="I601" s="40" t="s">
        <v>42</v>
      </c>
      <c r="J601" s="28">
        <v>2021</v>
      </c>
      <c r="K601" s="29" t="s">
        <v>34</v>
      </c>
      <c r="L601" s="30" t="s">
        <v>339</v>
      </c>
      <c r="M601" s="31">
        <v>5000</v>
      </c>
      <c r="N601" s="32">
        <v>4000</v>
      </c>
      <c r="O601" s="35">
        <v>1000</v>
      </c>
      <c r="P601" s="21">
        <v>0</v>
      </c>
      <c r="Q601" s="21">
        <v>0</v>
      </c>
      <c r="R601" s="23">
        <v>0</v>
      </c>
    </row>
    <row r="602" spans="1:18" x14ac:dyDescent="0.35">
      <c r="A602" s="24" t="s">
        <v>30</v>
      </c>
      <c r="B602" s="33" t="s">
        <v>195</v>
      </c>
      <c r="C602" s="26" t="s">
        <v>2055</v>
      </c>
      <c r="D602" s="13" t="s">
        <v>1958</v>
      </c>
      <c r="E602" s="20" t="s">
        <v>1959</v>
      </c>
      <c r="F602" s="22">
        <v>450</v>
      </c>
      <c r="G602" s="22">
        <v>0</v>
      </c>
      <c r="H602" s="27" t="s">
        <v>33</v>
      </c>
      <c r="I602" s="40" t="s">
        <v>42</v>
      </c>
      <c r="J602" s="28">
        <v>2015</v>
      </c>
      <c r="K602" s="34" t="s">
        <v>34</v>
      </c>
      <c r="L602" s="30" t="s">
        <v>1960</v>
      </c>
      <c r="M602" s="31">
        <v>20650</v>
      </c>
      <c r="N602" s="32">
        <v>3650</v>
      </c>
      <c r="O602" s="21">
        <v>16000</v>
      </c>
      <c r="P602" s="35">
        <v>0</v>
      </c>
      <c r="Q602" s="21">
        <v>1000</v>
      </c>
      <c r="R602" s="23">
        <v>0</v>
      </c>
    </row>
    <row r="603" spans="1:18" ht="10.5" customHeight="1" x14ac:dyDescent="0.35">
      <c r="A603" s="24" t="s">
        <v>30</v>
      </c>
      <c r="B603" s="33" t="s">
        <v>195</v>
      </c>
      <c r="C603" s="26" t="s">
        <v>1961</v>
      </c>
      <c r="D603" s="13" t="s">
        <v>1962</v>
      </c>
      <c r="E603" s="20" t="s">
        <v>1963</v>
      </c>
      <c r="F603" s="22">
        <v>305</v>
      </c>
      <c r="G603" s="22">
        <v>0</v>
      </c>
      <c r="H603" s="27" t="s">
        <v>33</v>
      </c>
      <c r="I603" s="13" t="s">
        <v>42</v>
      </c>
      <c r="J603" s="28">
        <v>2007</v>
      </c>
      <c r="K603" s="34" t="s">
        <v>47</v>
      </c>
      <c r="L603" s="30" t="s">
        <v>152</v>
      </c>
      <c r="M603" s="31">
        <v>7000</v>
      </c>
      <c r="N603" s="32">
        <v>0</v>
      </c>
      <c r="O603" s="21">
        <v>0</v>
      </c>
      <c r="P603" s="35">
        <v>7000</v>
      </c>
      <c r="Q603" s="21">
        <v>0</v>
      </c>
      <c r="R603" s="23">
        <v>0</v>
      </c>
    </row>
    <row r="604" spans="1:18" ht="10.5" customHeight="1" x14ac:dyDescent="0.35">
      <c r="A604" s="24" t="s">
        <v>85</v>
      </c>
      <c r="B604" s="33" t="s">
        <v>86</v>
      </c>
      <c r="C604" s="26" t="s">
        <v>333</v>
      </c>
      <c r="D604" s="13" t="s">
        <v>1964</v>
      </c>
      <c r="E604" s="20" t="s">
        <v>1965</v>
      </c>
      <c r="F604" s="22">
        <v>1800</v>
      </c>
      <c r="G604" s="22">
        <v>0</v>
      </c>
      <c r="H604" s="27" t="s">
        <v>33</v>
      </c>
      <c r="I604" s="40" t="s">
        <v>42</v>
      </c>
      <c r="J604" s="28">
        <v>2014</v>
      </c>
      <c r="K604" s="29" t="s">
        <v>34</v>
      </c>
      <c r="L604" s="30" t="s">
        <v>1966</v>
      </c>
      <c r="M604" s="31">
        <v>22300</v>
      </c>
      <c r="N604" s="32">
        <v>19000</v>
      </c>
      <c r="O604" s="21">
        <v>3300</v>
      </c>
      <c r="P604" s="21">
        <v>0</v>
      </c>
      <c r="Q604" s="21">
        <v>0</v>
      </c>
      <c r="R604" s="23">
        <v>0</v>
      </c>
    </row>
    <row r="605" spans="1:18" ht="10.5" customHeight="1" x14ac:dyDescent="0.35">
      <c r="A605" s="24" t="s">
        <v>35</v>
      </c>
      <c r="B605" s="33" t="s">
        <v>263</v>
      </c>
      <c r="C605" s="26" t="s">
        <v>1967</v>
      </c>
      <c r="D605" s="13" t="s">
        <v>1968</v>
      </c>
      <c r="E605" s="13" t="s">
        <v>1969</v>
      </c>
      <c r="F605" s="22">
        <v>500</v>
      </c>
      <c r="G605" s="22">
        <v>0</v>
      </c>
      <c r="H605" s="27" t="s">
        <v>33</v>
      </c>
      <c r="I605" s="13" t="s">
        <v>42</v>
      </c>
      <c r="J605" s="28">
        <v>2016</v>
      </c>
      <c r="K605" s="29" t="s">
        <v>47</v>
      </c>
      <c r="L605" s="30" t="s">
        <v>1970</v>
      </c>
      <c r="M605" s="31">
        <v>20000</v>
      </c>
      <c r="N605" s="32">
        <v>0</v>
      </c>
      <c r="O605" s="21">
        <v>0</v>
      </c>
      <c r="P605" s="35">
        <v>0</v>
      </c>
      <c r="Q605" s="21">
        <v>0</v>
      </c>
      <c r="R605" s="23">
        <v>20000</v>
      </c>
    </row>
    <row r="606" spans="1:18" ht="10.5" customHeight="1" x14ac:dyDescent="0.35">
      <c r="A606" s="24" t="s">
        <v>63</v>
      </c>
      <c r="B606" s="33" t="s">
        <v>257</v>
      </c>
      <c r="C606" s="26" t="s">
        <v>331</v>
      </c>
      <c r="D606" s="13" t="s">
        <v>1971</v>
      </c>
      <c r="E606" s="20" t="s">
        <v>1972</v>
      </c>
      <c r="F606" s="22">
        <v>1100</v>
      </c>
      <c r="G606" s="22">
        <v>0</v>
      </c>
      <c r="H606" s="27" t="s">
        <v>33</v>
      </c>
      <c r="I606" s="40" t="s">
        <v>42</v>
      </c>
      <c r="J606" s="28">
        <v>2013</v>
      </c>
      <c r="K606" s="34" t="s">
        <v>47</v>
      </c>
      <c r="L606" s="30" t="s">
        <v>152</v>
      </c>
      <c r="M606" s="31">
        <v>24000</v>
      </c>
      <c r="N606" s="32">
        <v>0</v>
      </c>
      <c r="O606" s="21">
        <v>0</v>
      </c>
      <c r="P606" s="35">
        <v>24000</v>
      </c>
      <c r="Q606" s="21">
        <v>0</v>
      </c>
      <c r="R606" s="23">
        <v>0</v>
      </c>
    </row>
    <row r="607" spans="1:18" x14ac:dyDescent="0.35">
      <c r="A607" s="24" t="s">
        <v>35</v>
      </c>
      <c r="B607" s="33" t="s">
        <v>260</v>
      </c>
      <c r="C607" s="26" t="s">
        <v>331</v>
      </c>
      <c r="D607" s="13" t="s">
        <v>1973</v>
      </c>
      <c r="E607" s="20" t="s">
        <v>1974</v>
      </c>
      <c r="F607" s="22">
        <v>2900</v>
      </c>
      <c r="G607" s="22">
        <v>0</v>
      </c>
      <c r="H607" s="27" t="s">
        <v>33</v>
      </c>
      <c r="I607" s="40" t="s">
        <v>42</v>
      </c>
      <c r="J607" s="28">
        <v>2009</v>
      </c>
      <c r="K607" s="34" t="s">
        <v>47</v>
      </c>
      <c r="L607" s="38" t="s">
        <v>152</v>
      </c>
      <c r="M607" s="31">
        <v>65000</v>
      </c>
      <c r="N607" s="32">
        <v>0</v>
      </c>
      <c r="O607" s="35">
        <v>0</v>
      </c>
      <c r="P607" s="21">
        <v>65000</v>
      </c>
      <c r="Q607" s="21">
        <v>0</v>
      </c>
      <c r="R607" s="23">
        <v>0</v>
      </c>
    </row>
    <row r="608" spans="1:18" x14ac:dyDescent="0.35">
      <c r="A608" s="24" t="s">
        <v>94</v>
      </c>
      <c r="B608" s="33" t="s">
        <v>123</v>
      </c>
      <c r="C608" s="26" t="s">
        <v>1975</v>
      </c>
      <c r="D608" s="13" t="s">
        <v>1976</v>
      </c>
      <c r="E608" s="20" t="s">
        <v>1977</v>
      </c>
      <c r="F608" s="22">
        <v>51</v>
      </c>
      <c r="G608" s="22">
        <v>0</v>
      </c>
      <c r="H608" s="27" t="s">
        <v>33</v>
      </c>
      <c r="I608" s="40" t="s">
        <v>42</v>
      </c>
      <c r="J608" s="28">
        <v>2017</v>
      </c>
      <c r="K608" s="34" t="s">
        <v>34</v>
      </c>
      <c r="L608" s="38" t="s">
        <v>522</v>
      </c>
      <c r="M608" s="31">
        <v>3000</v>
      </c>
      <c r="N608" s="32">
        <v>3000</v>
      </c>
      <c r="O608" s="35">
        <v>0</v>
      </c>
      <c r="P608" s="21">
        <v>0</v>
      </c>
      <c r="Q608" s="21">
        <v>0</v>
      </c>
      <c r="R608" s="23">
        <v>0</v>
      </c>
    </row>
    <row r="609" spans="1:18" ht="10.5" customHeight="1" x14ac:dyDescent="0.35">
      <c r="A609" s="24" t="s">
        <v>38</v>
      </c>
      <c r="B609" s="25" t="s">
        <v>212</v>
      </c>
      <c r="C609" s="36" t="s">
        <v>1978</v>
      </c>
      <c r="D609" s="41" t="s">
        <v>1979</v>
      </c>
      <c r="E609" s="20" t="s">
        <v>1980</v>
      </c>
      <c r="F609" s="22">
        <v>94</v>
      </c>
      <c r="G609" s="22">
        <v>0</v>
      </c>
      <c r="H609" s="27" t="s">
        <v>33</v>
      </c>
      <c r="I609" s="40" t="s">
        <v>42</v>
      </c>
      <c r="J609" s="28">
        <v>2014</v>
      </c>
      <c r="K609" s="29" t="s">
        <v>34</v>
      </c>
      <c r="L609" s="30" t="s">
        <v>1353</v>
      </c>
      <c r="M609" s="31">
        <v>8268</v>
      </c>
      <c r="N609" s="32">
        <v>7000</v>
      </c>
      <c r="O609" s="35">
        <v>1268</v>
      </c>
      <c r="P609" s="21">
        <v>0</v>
      </c>
      <c r="Q609" s="35">
        <v>0</v>
      </c>
      <c r="R609" s="23">
        <v>0</v>
      </c>
    </row>
    <row r="610" spans="1:18" ht="10.5" customHeight="1" x14ac:dyDescent="0.35">
      <c r="A610" s="24" t="s">
        <v>35</v>
      </c>
      <c r="B610" s="33" t="s">
        <v>36</v>
      </c>
      <c r="C610" s="26" t="s">
        <v>359</v>
      </c>
      <c r="D610" s="13" t="s">
        <v>1981</v>
      </c>
      <c r="E610" s="20" t="s">
        <v>2169</v>
      </c>
      <c r="F610" s="22">
        <v>180</v>
      </c>
      <c r="G610" s="22">
        <v>0</v>
      </c>
      <c r="H610" s="27" t="s">
        <v>33</v>
      </c>
      <c r="I610" s="40" t="s">
        <v>42</v>
      </c>
      <c r="J610" s="28">
        <v>2015</v>
      </c>
      <c r="K610" s="34" t="s">
        <v>34</v>
      </c>
      <c r="L610" s="38" t="s">
        <v>616</v>
      </c>
      <c r="M610" s="31">
        <v>5600</v>
      </c>
      <c r="N610" s="32">
        <v>5600</v>
      </c>
      <c r="O610" s="21">
        <v>0</v>
      </c>
      <c r="P610" s="21">
        <v>0</v>
      </c>
      <c r="Q610" s="21">
        <v>0</v>
      </c>
      <c r="R610" s="23">
        <v>0</v>
      </c>
    </row>
    <row r="611" spans="1:18" ht="10.5" customHeight="1" x14ac:dyDescent="0.35">
      <c r="A611" s="24" t="s">
        <v>63</v>
      </c>
      <c r="B611" s="33" t="s">
        <v>257</v>
      </c>
      <c r="C611" s="26" t="s">
        <v>1982</v>
      </c>
      <c r="D611" s="13" t="s">
        <v>1981</v>
      </c>
      <c r="E611" s="13" t="s">
        <v>1983</v>
      </c>
      <c r="F611" s="22">
        <v>495</v>
      </c>
      <c r="G611" s="22">
        <v>0</v>
      </c>
      <c r="H611" s="27" t="s">
        <v>33</v>
      </c>
      <c r="I611" s="40" t="s">
        <v>42</v>
      </c>
      <c r="J611" s="28">
        <v>2013</v>
      </c>
      <c r="K611" s="34" t="s">
        <v>34</v>
      </c>
      <c r="L611" s="30" t="s">
        <v>1984</v>
      </c>
      <c r="M611" s="31">
        <v>27500</v>
      </c>
      <c r="N611" s="32">
        <v>25000</v>
      </c>
      <c r="O611" s="35">
        <v>2500</v>
      </c>
      <c r="P611" s="21">
        <v>0</v>
      </c>
      <c r="Q611" s="21">
        <v>0</v>
      </c>
      <c r="R611" s="23">
        <v>0</v>
      </c>
    </row>
    <row r="612" spans="1:18" x14ac:dyDescent="0.35">
      <c r="A612" s="24" t="s">
        <v>48</v>
      </c>
      <c r="B612" s="33" t="s">
        <v>210</v>
      </c>
      <c r="C612" s="26" t="s">
        <v>1985</v>
      </c>
      <c r="D612" s="13" t="s">
        <v>1986</v>
      </c>
      <c r="E612" s="20" t="s">
        <v>1987</v>
      </c>
      <c r="F612" s="22">
        <v>440</v>
      </c>
      <c r="G612" s="22">
        <v>0</v>
      </c>
      <c r="H612" s="27" t="s">
        <v>33</v>
      </c>
      <c r="I612" s="40" t="s">
        <v>42</v>
      </c>
      <c r="J612" s="28">
        <v>2014</v>
      </c>
      <c r="K612" s="29" t="s">
        <v>34</v>
      </c>
      <c r="L612" s="30" t="s">
        <v>267</v>
      </c>
      <c r="M612" s="31">
        <v>9000</v>
      </c>
      <c r="N612" s="32">
        <v>0</v>
      </c>
      <c r="O612" s="21">
        <v>9000</v>
      </c>
      <c r="P612" s="21">
        <v>0</v>
      </c>
      <c r="Q612" s="21">
        <v>0</v>
      </c>
      <c r="R612" s="23">
        <v>0</v>
      </c>
    </row>
    <row r="613" spans="1:18" ht="10.5" customHeight="1" x14ac:dyDescent="0.35">
      <c r="A613" s="24" t="s">
        <v>91</v>
      </c>
      <c r="B613" s="33" t="s">
        <v>938</v>
      </c>
      <c r="C613" s="26" t="s">
        <v>1988</v>
      </c>
      <c r="D613" s="13" t="s">
        <v>1989</v>
      </c>
      <c r="E613" s="20" t="s">
        <v>2175</v>
      </c>
      <c r="F613" s="22">
        <v>250</v>
      </c>
      <c r="G613" s="22">
        <v>500</v>
      </c>
      <c r="H613" s="27" t="s">
        <v>52</v>
      </c>
      <c r="I613" s="13" t="s">
        <v>42</v>
      </c>
      <c r="J613" s="28">
        <v>2015</v>
      </c>
      <c r="K613" s="29" t="s">
        <v>34</v>
      </c>
      <c r="L613" s="30" t="s">
        <v>504</v>
      </c>
      <c r="M613" s="31">
        <v>45000</v>
      </c>
      <c r="N613" s="32">
        <v>0</v>
      </c>
      <c r="O613" s="35">
        <v>45000</v>
      </c>
      <c r="P613" s="21">
        <v>0</v>
      </c>
      <c r="Q613" s="21">
        <v>0</v>
      </c>
      <c r="R613" s="23">
        <v>0</v>
      </c>
    </row>
    <row r="614" spans="1:18" ht="10.5" customHeight="1" x14ac:dyDescent="0.35">
      <c r="A614" s="24" t="s">
        <v>38</v>
      </c>
      <c r="B614" s="33" t="s">
        <v>39</v>
      </c>
      <c r="C614" s="26" t="s">
        <v>1990</v>
      </c>
      <c r="D614" s="13" t="s">
        <v>1991</v>
      </c>
      <c r="E614" s="20" t="s">
        <v>1992</v>
      </c>
      <c r="F614" s="22">
        <v>479.06</v>
      </c>
      <c r="G614" s="22">
        <v>0</v>
      </c>
      <c r="H614" s="27" t="s">
        <v>33</v>
      </c>
      <c r="I614" s="40" t="s">
        <v>42</v>
      </c>
      <c r="J614" s="28">
        <v>2013</v>
      </c>
      <c r="K614" s="34" t="s">
        <v>34</v>
      </c>
      <c r="L614" s="30" t="s">
        <v>1993</v>
      </c>
      <c r="M614" s="31">
        <v>15000</v>
      </c>
      <c r="N614" s="32">
        <v>5000</v>
      </c>
      <c r="O614" s="21">
        <v>10000</v>
      </c>
      <c r="P614" s="35">
        <v>0</v>
      </c>
      <c r="Q614" s="21">
        <v>0</v>
      </c>
      <c r="R614" s="23">
        <v>0</v>
      </c>
    </row>
    <row r="615" spans="1:18" ht="10.5" customHeight="1" x14ac:dyDescent="0.35">
      <c r="A615" s="24" t="s">
        <v>38</v>
      </c>
      <c r="B615" s="33" t="s">
        <v>39</v>
      </c>
      <c r="C615" s="26" t="s">
        <v>1990</v>
      </c>
      <c r="D615" s="13" t="s">
        <v>1994</v>
      </c>
      <c r="E615" s="20" t="s">
        <v>1992</v>
      </c>
      <c r="F615" s="22">
        <v>600</v>
      </c>
      <c r="G615" s="22">
        <v>0</v>
      </c>
      <c r="H615" s="27" t="s">
        <v>33</v>
      </c>
      <c r="I615" s="40" t="s">
        <v>42</v>
      </c>
      <c r="J615" s="28">
        <v>2016</v>
      </c>
      <c r="K615" s="29" t="s">
        <v>34</v>
      </c>
      <c r="L615" s="30" t="s">
        <v>955</v>
      </c>
      <c r="M615" s="31">
        <v>15000</v>
      </c>
      <c r="N615" s="32">
        <v>5000</v>
      </c>
      <c r="O615" s="35">
        <v>10000</v>
      </c>
      <c r="P615" s="21">
        <v>0</v>
      </c>
      <c r="Q615" s="21">
        <v>0</v>
      </c>
      <c r="R615" s="23">
        <v>0</v>
      </c>
    </row>
    <row r="616" spans="1:18" x14ac:dyDescent="0.35">
      <c r="A616" s="24" t="s">
        <v>94</v>
      </c>
      <c r="B616" s="33" t="s">
        <v>95</v>
      </c>
      <c r="C616" s="26" t="s">
        <v>1995</v>
      </c>
      <c r="D616" s="13" t="s">
        <v>1996</v>
      </c>
      <c r="E616" s="13" t="s">
        <v>1997</v>
      </c>
      <c r="F616" s="35">
        <v>499</v>
      </c>
      <c r="G616" s="22">
        <v>0</v>
      </c>
      <c r="H616" s="27" t="s">
        <v>33</v>
      </c>
      <c r="I616" s="40" t="s">
        <v>42</v>
      </c>
      <c r="J616" s="28">
        <v>2014</v>
      </c>
      <c r="K616" s="29" t="s">
        <v>34</v>
      </c>
      <c r="L616" s="30" t="s">
        <v>1998</v>
      </c>
      <c r="M616" s="31">
        <v>18000</v>
      </c>
      <c r="N616" s="32">
        <v>7000</v>
      </c>
      <c r="O616" s="35">
        <v>11000</v>
      </c>
      <c r="P616" s="21">
        <v>0</v>
      </c>
      <c r="Q616" s="21">
        <v>0</v>
      </c>
      <c r="R616" s="23">
        <v>0</v>
      </c>
    </row>
    <row r="617" spans="1:18" ht="10.5" customHeight="1" x14ac:dyDescent="0.35">
      <c r="A617" s="24" t="s">
        <v>63</v>
      </c>
      <c r="B617" s="33" t="s">
        <v>382</v>
      </c>
      <c r="C617" s="26" t="s">
        <v>1999</v>
      </c>
      <c r="D617" s="13" t="s">
        <v>2000</v>
      </c>
      <c r="E617" s="20" t="s">
        <v>2001</v>
      </c>
      <c r="F617" s="22">
        <v>1300</v>
      </c>
      <c r="G617" s="22">
        <v>1000</v>
      </c>
      <c r="H617" s="27" t="s">
        <v>52</v>
      </c>
      <c r="I617" s="40" t="s">
        <v>42</v>
      </c>
      <c r="J617" s="28">
        <v>2015</v>
      </c>
      <c r="K617" s="29" t="s">
        <v>47</v>
      </c>
      <c r="L617" s="30" t="s">
        <v>2002</v>
      </c>
      <c r="M617" s="31">
        <v>120000</v>
      </c>
      <c r="N617" s="32">
        <v>0</v>
      </c>
      <c r="O617" s="35">
        <v>45000</v>
      </c>
      <c r="P617" s="21">
        <v>0</v>
      </c>
      <c r="Q617" s="21">
        <v>0</v>
      </c>
      <c r="R617" s="23">
        <v>75000</v>
      </c>
    </row>
    <row r="618" spans="1:18" x14ac:dyDescent="0.35">
      <c r="A618" s="24" t="s">
        <v>63</v>
      </c>
      <c r="B618" s="33" t="s">
        <v>64</v>
      </c>
      <c r="C618" s="26" t="s">
        <v>299</v>
      </c>
      <c r="D618" s="13" t="s">
        <v>2003</v>
      </c>
      <c r="E618" s="20" t="s">
        <v>840</v>
      </c>
      <c r="F618" s="22">
        <v>3000</v>
      </c>
      <c r="G618" s="22">
        <v>0</v>
      </c>
      <c r="H618" s="27" t="s">
        <v>33</v>
      </c>
      <c r="I618" s="40" t="s">
        <v>42</v>
      </c>
      <c r="J618" s="28">
        <v>2021</v>
      </c>
      <c r="K618" s="29" t="s">
        <v>47</v>
      </c>
      <c r="L618" s="30" t="s">
        <v>152</v>
      </c>
      <c r="M618" s="31">
        <v>50000</v>
      </c>
      <c r="N618" s="32">
        <v>0</v>
      </c>
      <c r="O618" s="21">
        <v>0</v>
      </c>
      <c r="P618" s="35">
        <v>50000</v>
      </c>
      <c r="Q618" s="21">
        <v>0</v>
      </c>
      <c r="R618" s="23">
        <v>0</v>
      </c>
    </row>
    <row r="619" spans="1:18" x14ac:dyDescent="0.35">
      <c r="A619" s="24" t="s">
        <v>44</v>
      </c>
      <c r="B619" s="33" t="s">
        <v>106</v>
      </c>
      <c r="C619" s="26" t="s">
        <v>2004</v>
      </c>
      <c r="D619" s="13" t="s">
        <v>2005</v>
      </c>
      <c r="E619" s="20" t="s">
        <v>2006</v>
      </c>
      <c r="F619" s="22">
        <v>500</v>
      </c>
      <c r="G619" s="22">
        <v>0</v>
      </c>
      <c r="H619" s="27" t="s">
        <v>33</v>
      </c>
      <c r="I619" s="40" t="s">
        <v>42</v>
      </c>
      <c r="J619" s="28">
        <v>2016</v>
      </c>
      <c r="K619" s="29" t="s">
        <v>34</v>
      </c>
      <c r="L619" s="30" t="s">
        <v>110</v>
      </c>
      <c r="M619" s="31">
        <v>11220</v>
      </c>
      <c r="N619" s="32">
        <v>1200</v>
      </c>
      <c r="O619" s="35">
        <v>10020</v>
      </c>
      <c r="P619" s="21">
        <v>0</v>
      </c>
      <c r="Q619" s="21">
        <v>0</v>
      </c>
      <c r="R619" s="23">
        <v>0</v>
      </c>
    </row>
    <row r="620" spans="1:18" x14ac:dyDescent="0.35">
      <c r="A620" s="24" t="s">
        <v>44</v>
      </c>
      <c r="B620" s="48" t="s">
        <v>54</v>
      </c>
      <c r="C620" s="26" t="s">
        <v>2096</v>
      </c>
      <c r="D620" s="13" t="s">
        <v>2135</v>
      </c>
      <c r="E620" s="13" t="s">
        <v>485</v>
      </c>
      <c r="F620" s="22">
        <v>250</v>
      </c>
      <c r="G620" s="22">
        <v>0</v>
      </c>
      <c r="H620" s="27" t="s">
        <v>33</v>
      </c>
      <c r="I620" s="13" t="s">
        <v>42</v>
      </c>
      <c r="J620" s="28">
        <v>2023</v>
      </c>
      <c r="K620" s="29" t="s">
        <v>47</v>
      </c>
      <c r="L620" s="30" t="s">
        <v>486</v>
      </c>
      <c r="M620" s="31">
        <v>6950</v>
      </c>
      <c r="N620" s="32">
        <v>1000</v>
      </c>
      <c r="O620" s="21">
        <v>700</v>
      </c>
      <c r="P620" s="35">
        <v>5250</v>
      </c>
      <c r="Q620" s="21">
        <v>0</v>
      </c>
      <c r="R620" s="23">
        <v>0</v>
      </c>
    </row>
    <row r="621" spans="1:18" x14ac:dyDescent="0.35">
      <c r="A621" s="24" t="s">
        <v>91</v>
      </c>
      <c r="B621" s="33" t="s">
        <v>92</v>
      </c>
      <c r="C621" s="26" t="s">
        <v>2007</v>
      </c>
      <c r="D621" s="13" t="s">
        <v>2008</v>
      </c>
      <c r="E621" s="20" t="s">
        <v>2148</v>
      </c>
      <c r="F621" s="22">
        <v>50</v>
      </c>
      <c r="G621" s="22">
        <v>0</v>
      </c>
      <c r="H621" s="27" t="s">
        <v>33</v>
      </c>
      <c r="I621" s="40" t="s">
        <v>42</v>
      </c>
      <c r="J621" s="28">
        <v>2005</v>
      </c>
      <c r="K621" s="34" t="s">
        <v>34</v>
      </c>
      <c r="L621" s="30" t="s">
        <v>179</v>
      </c>
      <c r="M621" s="31">
        <v>1500</v>
      </c>
      <c r="N621" s="32">
        <v>1350</v>
      </c>
      <c r="O621" s="35">
        <v>150</v>
      </c>
      <c r="P621" s="35">
        <v>0</v>
      </c>
      <c r="Q621" s="21">
        <v>0</v>
      </c>
      <c r="R621" s="23">
        <v>0</v>
      </c>
    </row>
    <row r="622" spans="1:18" x14ac:dyDescent="0.35">
      <c r="A622" s="24" t="s">
        <v>63</v>
      </c>
      <c r="B622" s="33" t="s">
        <v>64</v>
      </c>
      <c r="C622" s="26" t="s">
        <v>1736</v>
      </c>
      <c r="D622" s="13" t="s">
        <v>2009</v>
      </c>
      <c r="E622" s="20" t="s">
        <v>281</v>
      </c>
      <c r="F622" s="22">
        <v>1000</v>
      </c>
      <c r="G622" s="22">
        <v>0</v>
      </c>
      <c r="H622" s="27" t="s">
        <v>33</v>
      </c>
      <c r="I622" s="40" t="s">
        <v>42</v>
      </c>
      <c r="J622" s="28">
        <v>2014</v>
      </c>
      <c r="K622" s="34" t="s">
        <v>47</v>
      </c>
      <c r="L622" s="30" t="s">
        <v>372</v>
      </c>
      <c r="M622" s="43">
        <v>30000</v>
      </c>
      <c r="N622" s="32">
        <v>0</v>
      </c>
      <c r="O622" s="21">
        <v>0</v>
      </c>
      <c r="P622" s="21">
        <v>18000</v>
      </c>
      <c r="Q622" s="21">
        <v>0</v>
      </c>
      <c r="R622" s="23">
        <v>12000</v>
      </c>
    </row>
    <row r="623" spans="1:18" x14ac:dyDescent="0.35">
      <c r="A623" s="24" t="s">
        <v>38</v>
      </c>
      <c r="B623" s="33" t="s">
        <v>39</v>
      </c>
      <c r="C623" s="26" t="s">
        <v>2010</v>
      </c>
      <c r="D623" s="13" t="s">
        <v>2011</v>
      </c>
      <c r="E623" s="20" t="s">
        <v>2012</v>
      </c>
      <c r="F623" s="22">
        <v>755</v>
      </c>
      <c r="G623" s="22">
        <v>0</v>
      </c>
      <c r="H623" s="27" t="s">
        <v>33</v>
      </c>
      <c r="I623" s="40" t="s">
        <v>42</v>
      </c>
      <c r="J623" s="28">
        <v>2016</v>
      </c>
      <c r="K623" s="34" t="s">
        <v>34</v>
      </c>
      <c r="L623" s="30" t="s">
        <v>2013</v>
      </c>
      <c r="M623" s="31">
        <v>16000</v>
      </c>
      <c r="N623" s="32">
        <v>7750</v>
      </c>
      <c r="O623" s="21">
        <v>8250</v>
      </c>
      <c r="P623" s="35">
        <v>0</v>
      </c>
      <c r="Q623" s="21">
        <v>0</v>
      </c>
      <c r="R623" s="23">
        <v>0</v>
      </c>
    </row>
    <row r="624" spans="1:18" x14ac:dyDescent="0.35">
      <c r="A624" s="24" t="s">
        <v>30</v>
      </c>
      <c r="B624" s="33" t="s">
        <v>80</v>
      </c>
      <c r="C624" s="26" t="s">
        <v>2014</v>
      </c>
      <c r="D624" s="13" t="s">
        <v>2015</v>
      </c>
      <c r="E624" s="13" t="s">
        <v>2016</v>
      </c>
      <c r="F624" s="22">
        <v>50</v>
      </c>
      <c r="G624" s="22">
        <v>0</v>
      </c>
      <c r="H624" s="27" t="s">
        <v>33</v>
      </c>
      <c r="I624" s="40" t="s">
        <v>42</v>
      </c>
      <c r="J624" s="28">
        <v>2014</v>
      </c>
      <c r="K624" s="29" t="s">
        <v>34</v>
      </c>
      <c r="L624" s="30" t="s">
        <v>58</v>
      </c>
      <c r="M624" s="31">
        <v>8760</v>
      </c>
      <c r="N624" s="32">
        <v>8760</v>
      </c>
      <c r="O624" s="35">
        <v>0</v>
      </c>
      <c r="P624" s="35">
        <v>0</v>
      </c>
      <c r="Q624" s="21">
        <v>0</v>
      </c>
      <c r="R624" s="23">
        <v>0</v>
      </c>
    </row>
    <row r="625" spans="1:18" x14ac:dyDescent="0.35">
      <c r="A625" s="24" t="s">
        <v>94</v>
      </c>
      <c r="B625" s="33" t="s">
        <v>143</v>
      </c>
      <c r="C625" s="26" t="s">
        <v>2017</v>
      </c>
      <c r="D625" s="13" t="s">
        <v>2018</v>
      </c>
      <c r="E625" s="20" t="s">
        <v>2019</v>
      </c>
      <c r="F625" s="22">
        <v>100</v>
      </c>
      <c r="G625" s="22">
        <v>0</v>
      </c>
      <c r="H625" s="27" t="s">
        <v>33</v>
      </c>
      <c r="I625" s="40" t="s">
        <v>42</v>
      </c>
      <c r="J625" s="28">
        <v>2008</v>
      </c>
      <c r="K625" s="34" t="s">
        <v>34</v>
      </c>
      <c r="L625" s="30" t="s">
        <v>187</v>
      </c>
      <c r="M625" s="31">
        <v>1500</v>
      </c>
      <c r="N625" s="32">
        <v>0</v>
      </c>
      <c r="O625" s="35">
        <v>0</v>
      </c>
      <c r="P625" s="21">
        <v>0</v>
      </c>
      <c r="Q625" s="21">
        <v>1500</v>
      </c>
      <c r="R625" s="23">
        <v>0</v>
      </c>
    </row>
    <row r="626" spans="1:18" x14ac:dyDescent="0.35">
      <c r="A626" s="24" t="s">
        <v>30</v>
      </c>
      <c r="B626" s="33" t="s">
        <v>195</v>
      </c>
      <c r="C626" s="26" t="s">
        <v>338</v>
      </c>
      <c r="D626" s="13" t="s">
        <v>2020</v>
      </c>
      <c r="E626" s="20" t="s">
        <v>2021</v>
      </c>
      <c r="F626" s="22">
        <v>179.2</v>
      </c>
      <c r="G626" s="22">
        <v>0</v>
      </c>
      <c r="H626" s="27" t="s">
        <v>33</v>
      </c>
      <c r="I626" s="40" t="s">
        <v>42</v>
      </c>
      <c r="J626" s="28">
        <v>2015</v>
      </c>
      <c r="K626" s="34" t="s">
        <v>34</v>
      </c>
      <c r="L626" s="37" t="s">
        <v>2022</v>
      </c>
      <c r="M626" s="31">
        <v>5228</v>
      </c>
      <c r="N626" s="32">
        <v>1000</v>
      </c>
      <c r="O626" s="35">
        <v>4228</v>
      </c>
      <c r="P626" s="21">
        <v>0</v>
      </c>
      <c r="Q626" s="21">
        <v>0</v>
      </c>
      <c r="R626" s="23">
        <v>0</v>
      </c>
    </row>
    <row r="627" spans="1:18" x14ac:dyDescent="0.35">
      <c r="A627" s="24" t="s">
        <v>35</v>
      </c>
      <c r="B627" s="33" t="s">
        <v>36</v>
      </c>
      <c r="C627" s="26" t="s">
        <v>2023</v>
      </c>
      <c r="D627" s="13" t="s">
        <v>2024</v>
      </c>
      <c r="E627" s="20" t="s">
        <v>2025</v>
      </c>
      <c r="F627" s="22">
        <v>153</v>
      </c>
      <c r="G627" s="22">
        <v>0</v>
      </c>
      <c r="H627" s="27" t="s">
        <v>33</v>
      </c>
      <c r="I627" s="40" t="s">
        <v>42</v>
      </c>
      <c r="J627" s="28">
        <v>2015</v>
      </c>
      <c r="K627" s="34" t="s">
        <v>34</v>
      </c>
      <c r="L627" s="30" t="s">
        <v>2026</v>
      </c>
      <c r="M627" s="31">
        <v>4000</v>
      </c>
      <c r="N627" s="32">
        <v>0</v>
      </c>
      <c r="O627" s="21">
        <v>4000</v>
      </c>
      <c r="P627" s="21">
        <v>0</v>
      </c>
      <c r="Q627" s="21">
        <v>0</v>
      </c>
      <c r="R627" s="23">
        <v>0</v>
      </c>
    </row>
    <row r="628" spans="1:18" x14ac:dyDescent="0.35">
      <c r="A628" s="24" t="s">
        <v>35</v>
      </c>
      <c r="B628" s="33" t="s">
        <v>425</v>
      </c>
      <c r="C628" s="26" t="s">
        <v>2027</v>
      </c>
      <c r="D628" s="13" t="s">
        <v>2028</v>
      </c>
      <c r="E628" s="20" t="s">
        <v>2029</v>
      </c>
      <c r="F628" s="22">
        <v>449</v>
      </c>
      <c r="G628" s="22">
        <v>0</v>
      </c>
      <c r="H628" s="27" t="s">
        <v>33</v>
      </c>
      <c r="I628" s="40" t="s">
        <v>42</v>
      </c>
      <c r="J628" s="28">
        <v>2014</v>
      </c>
      <c r="K628" s="29" t="s">
        <v>34</v>
      </c>
      <c r="L628" s="30" t="s">
        <v>2030</v>
      </c>
      <c r="M628" s="31">
        <v>11800</v>
      </c>
      <c r="N628" s="32">
        <v>3000</v>
      </c>
      <c r="O628" s="35">
        <v>8800</v>
      </c>
      <c r="P628" s="21">
        <v>0</v>
      </c>
      <c r="Q628" s="35">
        <v>0</v>
      </c>
      <c r="R628" s="23">
        <v>0</v>
      </c>
    </row>
    <row r="629" spans="1:18" x14ac:dyDescent="0.35">
      <c r="A629" s="24" t="s">
        <v>63</v>
      </c>
      <c r="B629" s="33" t="s">
        <v>257</v>
      </c>
      <c r="C629" s="26" t="s">
        <v>2031</v>
      </c>
      <c r="D629" s="13" t="s">
        <v>2032</v>
      </c>
      <c r="E629" s="13" t="s">
        <v>2033</v>
      </c>
      <c r="F629" s="22">
        <v>124</v>
      </c>
      <c r="G629" s="22" t="s">
        <v>93</v>
      </c>
      <c r="H629" s="27" t="s">
        <v>33</v>
      </c>
      <c r="I629" s="40" t="s">
        <v>42</v>
      </c>
      <c r="J629" s="28" t="s">
        <v>93</v>
      </c>
      <c r="K629" s="34" t="s">
        <v>34</v>
      </c>
      <c r="L629" s="30" t="s">
        <v>213</v>
      </c>
      <c r="M629" s="31">
        <v>3500</v>
      </c>
      <c r="N629" s="32">
        <v>3500</v>
      </c>
      <c r="O629" s="21">
        <v>0</v>
      </c>
      <c r="P629" s="21">
        <v>0</v>
      </c>
      <c r="Q629" s="21">
        <v>0</v>
      </c>
      <c r="R629" s="23">
        <v>0</v>
      </c>
    </row>
    <row r="630" spans="1:18" x14ac:dyDescent="0.35">
      <c r="A630" s="24" t="s">
        <v>85</v>
      </c>
      <c r="B630" s="33" t="s">
        <v>558</v>
      </c>
      <c r="C630" s="26" t="s">
        <v>2034</v>
      </c>
      <c r="D630" s="13" t="s">
        <v>2035</v>
      </c>
      <c r="E630" s="20" t="s">
        <v>2036</v>
      </c>
      <c r="F630" s="22">
        <v>1140</v>
      </c>
      <c r="G630" s="22">
        <v>0</v>
      </c>
      <c r="H630" s="27" t="s">
        <v>33</v>
      </c>
      <c r="I630" s="40" t="s">
        <v>42</v>
      </c>
      <c r="J630" s="28">
        <v>2015</v>
      </c>
      <c r="K630" s="34" t="s">
        <v>34</v>
      </c>
      <c r="L630" s="30" t="s">
        <v>267</v>
      </c>
      <c r="M630" s="43">
        <v>25000</v>
      </c>
      <c r="N630" s="32">
        <v>0</v>
      </c>
      <c r="O630" s="35">
        <v>25000</v>
      </c>
      <c r="P630" s="21">
        <v>0</v>
      </c>
      <c r="Q630" s="21">
        <v>0</v>
      </c>
      <c r="R630" s="23">
        <v>0</v>
      </c>
    </row>
    <row r="631" spans="1:18" x14ac:dyDescent="0.35">
      <c r="A631" s="24" t="s">
        <v>85</v>
      </c>
      <c r="B631" s="48" t="s">
        <v>86</v>
      </c>
      <c r="C631" s="26" t="s">
        <v>2097</v>
      </c>
      <c r="D631" s="13" t="s">
        <v>2037</v>
      </c>
      <c r="E631" s="13" t="s">
        <v>2038</v>
      </c>
      <c r="F631" s="22">
        <v>481</v>
      </c>
      <c r="G631" s="22">
        <v>0</v>
      </c>
      <c r="H631" s="27" t="s">
        <v>33</v>
      </c>
      <c r="I631" s="13" t="s">
        <v>42</v>
      </c>
      <c r="J631" s="28">
        <v>2015</v>
      </c>
      <c r="K631" s="29" t="s">
        <v>34</v>
      </c>
      <c r="L631" s="30" t="s">
        <v>2039</v>
      </c>
      <c r="M631" s="31">
        <v>16200</v>
      </c>
      <c r="N631" s="32">
        <v>11000</v>
      </c>
      <c r="O631" s="35">
        <v>1400</v>
      </c>
      <c r="P631" s="21">
        <v>0</v>
      </c>
      <c r="Q631" s="21">
        <v>3800</v>
      </c>
      <c r="R631" s="23">
        <v>0</v>
      </c>
    </row>
    <row r="632" spans="1:18" x14ac:dyDescent="0.35">
      <c r="A632" s="24" t="s">
        <v>38</v>
      </c>
      <c r="B632" s="48" t="s">
        <v>212</v>
      </c>
      <c r="C632" s="26" t="s">
        <v>2040</v>
      </c>
      <c r="D632" s="13" t="s">
        <v>2040</v>
      </c>
      <c r="E632" s="13" t="s">
        <v>2041</v>
      </c>
      <c r="F632" s="22">
        <v>44</v>
      </c>
      <c r="G632" s="22">
        <v>0</v>
      </c>
      <c r="H632" s="27" t="s">
        <v>33</v>
      </c>
      <c r="I632" s="13" t="s">
        <v>42</v>
      </c>
      <c r="J632" s="28">
        <v>2018</v>
      </c>
      <c r="K632" s="29" t="s">
        <v>34</v>
      </c>
      <c r="L632" s="30" t="s">
        <v>496</v>
      </c>
      <c r="M632" s="31">
        <v>1000</v>
      </c>
      <c r="N632" s="32">
        <v>1000</v>
      </c>
      <c r="O632" s="35">
        <v>0</v>
      </c>
      <c r="P632" s="21">
        <v>0</v>
      </c>
      <c r="Q632" s="35">
        <v>0</v>
      </c>
      <c r="R632" s="23">
        <v>0</v>
      </c>
    </row>
    <row r="633" spans="1:18" ht="10.5" customHeight="1" x14ac:dyDescent="0.35">
      <c r="A633" s="24" t="s">
        <v>63</v>
      </c>
      <c r="B633" s="48" t="s">
        <v>257</v>
      </c>
      <c r="C633" s="26" t="s">
        <v>2042</v>
      </c>
      <c r="D633" s="13" t="s">
        <v>2043</v>
      </c>
      <c r="E633" s="13" t="s">
        <v>2044</v>
      </c>
      <c r="F633" s="22">
        <v>495</v>
      </c>
      <c r="G633" s="22">
        <v>770.00000000000011</v>
      </c>
      <c r="H633" s="27" t="s">
        <v>52</v>
      </c>
      <c r="I633" s="40" t="s">
        <v>42</v>
      </c>
      <c r="J633" s="28">
        <v>2013</v>
      </c>
      <c r="K633" s="29" t="s">
        <v>47</v>
      </c>
      <c r="L633" s="30" t="s">
        <v>2045</v>
      </c>
      <c r="M633" s="31">
        <v>75000</v>
      </c>
      <c r="N633" s="32">
        <v>10000</v>
      </c>
      <c r="O633" s="21">
        <v>0</v>
      </c>
      <c r="P633" s="21">
        <v>0</v>
      </c>
      <c r="Q633" s="21">
        <v>0</v>
      </c>
      <c r="R633" s="23">
        <v>65000</v>
      </c>
    </row>
    <row r="634" spans="1:18" ht="10.5" customHeight="1" x14ac:dyDescent="0.35">
      <c r="A634" s="24" t="s">
        <v>38</v>
      </c>
      <c r="B634" s="48" t="s">
        <v>39</v>
      </c>
      <c r="C634" s="26" t="s">
        <v>2046</v>
      </c>
      <c r="D634" s="13" t="s">
        <v>2047</v>
      </c>
      <c r="E634" s="13" t="s">
        <v>2048</v>
      </c>
      <c r="F634" s="22">
        <v>1250</v>
      </c>
      <c r="G634" s="22">
        <v>0</v>
      </c>
      <c r="H634" s="27" t="s">
        <v>33</v>
      </c>
      <c r="I634" s="13" t="s">
        <v>42</v>
      </c>
      <c r="J634" s="28">
        <v>2012</v>
      </c>
      <c r="K634" s="29" t="s">
        <v>34</v>
      </c>
      <c r="L634" s="30" t="s">
        <v>2049</v>
      </c>
      <c r="M634" s="31">
        <v>22900</v>
      </c>
      <c r="N634" s="32">
        <v>13750</v>
      </c>
      <c r="O634" s="35">
        <v>6900</v>
      </c>
      <c r="P634" s="21">
        <v>0</v>
      </c>
      <c r="Q634" s="21">
        <v>2250</v>
      </c>
      <c r="R634" s="23">
        <v>0</v>
      </c>
    </row>
    <row r="635" spans="1:18" ht="14.5" x14ac:dyDescent="0.35">
      <c r="A635" s="50"/>
      <c r="B635" s="50"/>
      <c r="C635" s="50"/>
      <c r="D635" s="51"/>
      <c r="E635" s="51"/>
      <c r="F635" s="52">
        <f>SUM(F5:F634)</f>
        <v>593568.66</v>
      </c>
      <c r="G635" s="52">
        <f>SUM(G5:G634)</f>
        <v>75812.649999999994</v>
      </c>
      <c r="H635" s="53"/>
      <c r="I635" s="54"/>
      <c r="J635" s="50"/>
      <c r="K635" s="50"/>
      <c r="L635" s="51" t="s">
        <v>2051</v>
      </c>
      <c r="M635" s="55">
        <f t="shared" ref="M635:R635" si="0">SUM(M5:M618)</f>
        <v>17794585</v>
      </c>
      <c r="N635" s="55">
        <f t="shared" si="0"/>
        <v>2647764</v>
      </c>
      <c r="O635" s="55">
        <f t="shared" si="0"/>
        <v>4452575</v>
      </c>
      <c r="P635" s="55">
        <f t="shared" si="0"/>
        <v>6010138</v>
      </c>
      <c r="Q635" s="55">
        <f t="shared" si="0"/>
        <v>699435</v>
      </c>
      <c r="R635" s="55">
        <f t="shared" si="0"/>
        <v>3726823</v>
      </c>
    </row>
  </sheetData>
  <sheetProtection sheet="1" objects="1" scenarios="1" selectLockedCells="1" sort="0" autoFilter="0" selectUnlockedCells="1"/>
  <protectedRanges>
    <protectedRange sqref="A4:R634" name="AD Data"/>
  </protectedRanges>
  <mergeCells count="2">
    <mergeCell ref="G3:H3"/>
    <mergeCell ref="D2:F2"/>
  </mergeCells>
  <phoneticPr fontId="42" type="noConversion"/>
  <conditionalFormatting sqref="I5:I1048576">
    <cfRule type="containsText" dxfId="14" priority="22844" operator="containsText" text="application refused">
      <formula>NOT(ISERROR(SEARCH("application refused",I5)))</formula>
    </cfRule>
    <cfRule type="containsText" dxfId="13" priority="22845" operator="containsText" text="decommissioned">
      <formula>NOT(ISERROR(SEARCH("decommissioned",I5)))</formula>
    </cfRule>
    <cfRule type="containsText" dxfId="12" priority="22846" operator="containsText" text="cancelled">
      <formula>NOT(ISERROR(SEARCH("cancelled",I5)))</formula>
    </cfRule>
    <cfRule type="containsText" dxfId="11" priority="22847" operator="containsText" text="Application withdrawn">
      <formula>NOT(ISERROR(SEARCH("Application withdrawn",I5)))</formula>
    </cfRule>
    <cfRule type="containsText" dxfId="10" priority="22848" operator="containsText" text="Application approved">
      <formula>NOT(ISERROR(SEARCH("Application approved",I5)))</formula>
    </cfRule>
    <cfRule type="containsText" dxfId="9" priority="22849" operator="containsText" text="Under construction">
      <formula>NOT(ISERROR(SEARCH("Under construction",I5)))</formula>
    </cfRule>
    <cfRule type="containsText" dxfId="8" priority="22850" operator="containsText" text="Application submitted">
      <formula>NOT(ISERROR(SEARCH("Application submitted",I5)))</formula>
    </cfRule>
    <cfRule type="containsText" dxfId="7" priority="22851" operator="containsText" text="Planned">
      <formula>NOT(ISERROR(SEARCH("Planned",I5)))</formula>
    </cfRule>
  </conditionalFormatting>
  <conditionalFormatting sqref="J1:J4 J635:J1048576">
    <cfRule type="containsText" dxfId="6" priority="5197" operator="containsText" text="Abandoned">
      <formula>NOT(ISERROR(SEARCH("Abandoned",J1)))</formula>
    </cfRule>
    <cfRule type="cellIs" dxfId="5" priority="15307" operator="equal">
      <formula>"Abandoned"</formula>
    </cfRule>
  </conditionalFormatting>
  <conditionalFormatting sqref="J5:J291 J293:J623 J625:J634">
    <cfRule type="cellIs" dxfId="4" priority="2" operator="equal">
      <formula>"Abandoned"</formula>
    </cfRule>
  </conditionalFormatting>
  <conditionalFormatting sqref="M135:M136">
    <cfRule type="containsText" dxfId="3" priority="7840" operator="containsText" text="C&amp;I">
      <formula>NOT(ISERROR(SEARCH("C&amp;I",M135)))</formula>
    </cfRule>
  </conditionalFormatting>
  <conditionalFormatting sqref="M174">
    <cfRule type="containsText" dxfId="1" priority="7838" operator="containsText" text="C&amp;I">
      <formula>NOT(ISERROR(SEARCH("C&amp;I",M174)))</formula>
    </cfRule>
  </conditionalFormatting>
  <dataValidations count="1">
    <dataValidation type="list" allowBlank="1" showInputMessage="1" showErrorMessage="1" sqref="A5:A634" xr:uid="{D0FBCA3E-343A-418B-9495-A940F73EDF43}">
      <formula1>"NI,SC,WA,NW,NE,YH,EM,WM,EE,SW,SE,IoW,LDN"</formula1>
    </dataValidation>
  </dataValidations>
  <pageMargins left="0.7" right="0.7" top="0.75" bottom="0.75" header="0.3" footer="0.3"/>
  <pageSetup paperSize="9" orientation="portrait" verticalDpi="300"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76" operator="containsText" id="{00ED49B3-9667-4882-B85F-B57C5675DDE4}">
            <xm:f>NOT(ISERROR(SEARCH("Operational",I5)))</xm:f>
            <xm:f>"Operational"</xm:f>
            <x14:dxf>
              <fill>
                <patternFill>
                  <bgColor theme="6" tint="0.59996337778862885"/>
                </patternFill>
              </fill>
            </x14:dxf>
          </x14:cfRule>
          <xm:sqref>I5:I634</xm:sqref>
        </x14:conditionalFormatting>
        <x14:conditionalFormatting xmlns:xm="http://schemas.microsoft.com/office/excel/2006/main">
          <x14:cfRule type="containsText" priority="7841" operator="containsText" id="{A7DA59BA-9E54-4936-95F7-D787AEECDAA9}">
            <xm:f>NOT(ISERROR(SEARCH("MSW",M135)))</xm:f>
            <xm:f>"MSW"</xm:f>
            <x14:dxf>
              <fill>
                <patternFill>
                  <bgColor theme="8" tint="0.39994506668294322"/>
                </patternFill>
              </fill>
            </x14:dxf>
          </x14:cfRule>
          <xm:sqref>M135:M136</xm:sqref>
        </x14:conditionalFormatting>
        <x14:conditionalFormatting xmlns:xm="http://schemas.microsoft.com/office/excel/2006/main">
          <x14:cfRule type="containsText" priority="7839" operator="containsText" id="{8A9BF22A-9BDF-4769-B025-B4335E973A0F}">
            <xm:f>NOT(ISERROR(SEARCH("MSW",M174)))</xm:f>
            <xm:f>"MSW"</xm:f>
            <x14:dxf>
              <fill>
                <patternFill>
                  <bgColor theme="8" tint="0.39994506668294322"/>
                </patternFill>
              </fill>
            </x14:dxf>
          </x14:cfRule>
          <xm:sqref>M174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F23CFB4883C434B8861157A7E63C902" ma:contentTypeVersion="55" ma:contentTypeDescription="Create a new document." ma:contentTypeScope="" ma:versionID="b0df3b3a73e19cd14bdcc15e177ca5a2">
  <xsd:schema xmlns:xsd="http://www.w3.org/2001/XMLSchema" xmlns:xs="http://www.w3.org/2001/XMLSchema" xmlns:p="http://schemas.microsoft.com/office/2006/metadata/properties" xmlns:ns2="17d99a31-98f1-4afd-a429-070be36b3187" xmlns:ns3="00223750-1d63-4f05-8b63-404ac20c17ba" xmlns:ns4="19f55144-08e2-47b2-a7b0-a3db604cb178" targetNamespace="http://schemas.microsoft.com/office/2006/metadata/properties" ma:root="true" ma:fieldsID="fbd1b7587de7f37d2bbde91ad300d0a2" ns2:_="" ns3:_="" ns4:_="">
    <xsd:import namespace="17d99a31-98f1-4afd-a429-070be36b3187"/>
    <xsd:import namespace="00223750-1d63-4f05-8b63-404ac20c17ba"/>
    <xsd:import namespace="19f55144-08e2-47b2-a7b0-a3db604cb17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d99a31-98f1-4afd-a429-070be36b3187"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223750-1d63-4f05-8b63-404ac20c17b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5cd0f7-736d-4101-ab1d-4036ab80ff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f55144-08e2-47b2-a7b0-a3db604cb17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a32164b-3485-4c92-96c5-905c7c99dd35}" ma:internalName="TaxCatchAll" ma:showField="CatchAllData" ma:web="19f55144-08e2-47b2-a7b0-a3db604cb1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9f55144-08e2-47b2-a7b0-a3db604cb178" xsi:nil="true"/>
    <lcf76f155ced4ddcb4097134ff3c332f xmlns="00223750-1d63-4f05-8b63-404ac20c17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82419A-F246-4B1A-B9E6-C504C496D572}">
  <ds:schemaRefs>
    <ds:schemaRef ds:uri="http://schemas.microsoft.com/sharepoint/v3/contenttype/forms"/>
  </ds:schemaRefs>
</ds:datastoreItem>
</file>

<file path=customXml/itemProps2.xml><?xml version="1.0" encoding="utf-8"?>
<ds:datastoreItem xmlns:ds="http://schemas.openxmlformats.org/officeDocument/2006/customXml" ds:itemID="{7C73CD09-5149-418A-ACB4-21D8F2346D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d99a31-98f1-4afd-a429-070be36b3187"/>
    <ds:schemaRef ds:uri="00223750-1d63-4f05-8b63-404ac20c17ba"/>
    <ds:schemaRef ds:uri="19f55144-08e2-47b2-a7b0-a3db604cb1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4B0EC3-8A4D-4BB5-A535-F4B00FB0F818}">
  <ds:schemaRefs>
    <ds:schemaRef ds:uri="17d99a31-98f1-4afd-a429-070be36b3187"/>
    <ds:schemaRef ds:uri="http://schemas.microsoft.com/office/2006/metadata/properties"/>
    <ds:schemaRef ds:uri="http://purl.org/dc/dcmitype/"/>
    <ds:schemaRef ds:uri="http://purl.org/dc/terms/"/>
    <ds:schemaRef ds:uri="http://schemas.microsoft.com/office/2006/documentManagement/types"/>
    <ds:schemaRef ds:uri="19f55144-08e2-47b2-a7b0-a3db604cb178"/>
    <ds:schemaRef ds:uri="http://schemas.microsoft.com/office/infopath/2007/PartnerControls"/>
    <ds:schemaRef ds:uri="http://schemas.openxmlformats.org/package/2006/metadata/core-properties"/>
    <ds:schemaRef ds:uri="00223750-1d63-4f05-8b63-404ac20c17ba"/>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Introduction</vt:lpstr>
      <vt:lpstr>Sites</vt:lpstr>
      <vt:lpstr>Biogas_capacity</vt:lpstr>
      <vt:lpstr>Capacity__kWe</vt:lpstr>
      <vt:lpstr>Crop</vt:lpstr>
      <vt:lpstr>Crop_Waste</vt:lpstr>
      <vt:lpstr>Food_Waste</vt:lpstr>
      <vt:lpstr>Manure__Slurry</vt:lpstr>
      <vt:lpstr>Other_Waste</vt:lpstr>
      <vt:lpstr>Total_feedstock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Thea Allary</cp:lastModifiedBy>
  <cp:revision/>
  <dcterms:created xsi:type="dcterms:W3CDTF">2020-04-30T21:08:49Z</dcterms:created>
  <dcterms:modified xsi:type="dcterms:W3CDTF">2024-06-07T14:31:06Z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0x0101000F23CFB4883C434B8861157A7E63C902</vt:lpwstr>
  </property>
  <property fmtid="{D5CDD505-2E9C-101B-9397-08002B2CF9AE}" pid="3" name="MediaServiceImageTags">
    <vt:lpwstr/>
  </property>
</Properties>
</file>