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"/>
    </mc:Choice>
  </mc:AlternateContent>
  <xr:revisionPtr revIDLastSave="0" documentId="13_ncr:1_{BF89F9ED-314A-401F-81FC-C25A4440E44D}" xr6:coauthVersionLast="47" xr6:coauthVersionMax="47" xr10:uidLastSave="{00000000-0000-0000-0000-000000000000}"/>
  <bookViews>
    <workbookView xWindow="-110" yWindow="-110" windowWidth="19420" windowHeight="10420" xr2:uid="{180EBF39-65E5-40F2-BE40-3753F87F2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2" i="1"/>
</calcChain>
</file>

<file path=xl/sharedStrings.xml><?xml version="1.0" encoding="utf-8"?>
<sst xmlns="http://schemas.openxmlformats.org/spreadsheetml/2006/main" count="3384" uniqueCount="1354">
  <si>
    <t>Region</t>
  </si>
  <si>
    <t>County</t>
  </si>
  <si>
    <t>Developer</t>
  </si>
  <si>
    <t>Site Reference</t>
  </si>
  <si>
    <t>Postcode</t>
  </si>
  <si>
    <t>Capacity (kWe)</t>
  </si>
  <si>
    <t>Biomethane capacity (Nm3/hr biomethane)</t>
  </si>
  <si>
    <t>Output</t>
  </si>
  <si>
    <t>Status</t>
  </si>
  <si>
    <t>Completion</t>
  </si>
  <si>
    <t>Type</t>
  </si>
  <si>
    <t>Feedstock</t>
  </si>
  <si>
    <t>Total feedstock (tpa)</t>
  </si>
  <si>
    <t>Manure/ Slurry (tpa)</t>
  </si>
  <si>
    <t>Crop (tpa)</t>
  </si>
  <si>
    <t>Food Waste (tpa)</t>
  </si>
  <si>
    <t>Crop Waste (tpa)</t>
  </si>
  <si>
    <t>Other Waste (tpa)</t>
  </si>
  <si>
    <t>X Coordinates</t>
  </si>
  <si>
    <t>Y Coordinates</t>
  </si>
  <si>
    <t>Purchase Price (£/tonne)</t>
  </si>
  <si>
    <t>Water Content (%)</t>
  </si>
  <si>
    <t>WM</t>
  </si>
  <si>
    <t>Shropshire</t>
  </si>
  <si>
    <t>Abbotsmoor Farm</t>
  </si>
  <si>
    <t>SY11 4HF</t>
  </si>
  <si>
    <t>CHP</t>
  </si>
  <si>
    <t>Operational</t>
  </si>
  <si>
    <t>Farm-fed</t>
  </si>
  <si>
    <t>Energy crops &amp; animal manures</t>
  </si>
  <si>
    <t>EE</t>
  </si>
  <si>
    <t>Suffolk</t>
  </si>
  <si>
    <t>Adnams Bio Energy</t>
  </si>
  <si>
    <t>IP18 6JW</t>
  </si>
  <si>
    <t>BtG &amp; CHP</t>
  </si>
  <si>
    <t>Waste-fed</t>
  </si>
  <si>
    <t>Food waste &amp; brewery waste</t>
  </si>
  <si>
    <t>NI</t>
  </si>
  <si>
    <t>Belfast &amp; Outer Belfast</t>
  </si>
  <si>
    <t>Williams Industrial Service (WIS)</t>
  </si>
  <si>
    <t>Airport Road West</t>
  </si>
  <si>
    <t>BT3 9ED</t>
  </si>
  <si>
    <t>Distillery wastes &amp; animal manure</t>
  </si>
  <si>
    <t>Cambridgeshire</t>
  </si>
  <si>
    <t>Alan Bartlett &amp; Sons</t>
  </si>
  <si>
    <t>PE16 6EG</t>
  </si>
  <si>
    <t>-</t>
  </si>
  <si>
    <t>Vegetable outgrades</t>
  </si>
  <si>
    <t>YH</t>
  </si>
  <si>
    <t>North Yorkshire</t>
  </si>
  <si>
    <t>AmeyCespa</t>
  </si>
  <si>
    <t>Allerton Waste Recovery Park</t>
  </si>
  <si>
    <t>HG5 0SD</t>
  </si>
  <si>
    <t>Organic fraction of MSW</t>
  </si>
  <si>
    <t>AB Agri</t>
  </si>
  <si>
    <t>Amur / Abagri Ltd</t>
  </si>
  <si>
    <t>LS25 5FP</t>
  </si>
  <si>
    <t>Food waste &amp; green waste</t>
  </si>
  <si>
    <t>EM</t>
  </si>
  <si>
    <t>Lincolnshire</t>
  </si>
  <si>
    <t>Bygen</t>
  </si>
  <si>
    <t>Angel Wells Farm</t>
  </si>
  <si>
    <t>NG33 4SW</t>
  </si>
  <si>
    <t>Food waste (commercial) &amp; poultry manure</t>
  </si>
  <si>
    <t>WA</t>
  </si>
  <si>
    <t>West Wales &amp; The Valleys</t>
  </si>
  <si>
    <t>Anglesey Ecoparc Mon</t>
  </si>
  <si>
    <t>Anglesey Ecoparc</t>
  </si>
  <si>
    <t>LL65 4RJ</t>
  </si>
  <si>
    <t>Food waste, animal processing waste &amp; slurry</t>
  </si>
  <si>
    <t>NW</t>
  </si>
  <si>
    <t>Cumbria</t>
  </si>
  <si>
    <t>Mssrs R Miller Ltd</t>
  </si>
  <si>
    <t>Arkleby Mill</t>
  </si>
  <si>
    <t>CA7 2BG</t>
  </si>
  <si>
    <t>Crop silage</t>
  </si>
  <si>
    <t>SE</t>
  </si>
  <si>
    <t>Buckinghamshire</t>
  </si>
  <si>
    <t>Arla Foods</t>
  </si>
  <si>
    <t>Arla Foods (Dairy waste)</t>
  </si>
  <si>
    <t>HP22 5WJ</t>
  </si>
  <si>
    <t>Dairy effluent</t>
  </si>
  <si>
    <t>Syrus Energy</t>
  </si>
  <si>
    <t>Asgard Renewables</t>
  </si>
  <si>
    <t>SA43 1RD</t>
  </si>
  <si>
    <t>Food waste</t>
  </si>
  <si>
    <t>Lake District Biogas</t>
  </si>
  <si>
    <t>Aspatria Creamery</t>
  </si>
  <si>
    <t>CA7 2AR</t>
  </si>
  <si>
    <t>Dairy effluent &amp; whey permeate</t>
  </si>
  <si>
    <t>Olleco/Arla Food Ltd</t>
  </si>
  <si>
    <t>Aston Clinton AD</t>
  </si>
  <si>
    <t>Commercial food waste</t>
  </si>
  <si>
    <t>Cheshire</t>
  </si>
  <si>
    <t>MJ &amp; MC Thomasson</t>
  </si>
  <si>
    <t>Aston Lower Hall Farm</t>
  </si>
  <si>
    <t>CW5 6DS</t>
  </si>
  <si>
    <t>Cattle slurry &amp; waste cattle feed</t>
  </si>
  <si>
    <t>Warwickshire</t>
  </si>
  <si>
    <t>BiogenGreenfinch</t>
  </si>
  <si>
    <t>Atherstone</t>
  </si>
  <si>
    <t>CV9 2HG</t>
  </si>
  <si>
    <t>SC</t>
  </si>
  <si>
    <t>South Western Scotland</t>
  </si>
  <si>
    <t>Morrison Bowmore Distillers</t>
  </si>
  <si>
    <t>Auchentoshan Distillery</t>
  </si>
  <si>
    <t>G81 4SJ</t>
  </si>
  <si>
    <t>Brewery effluent</t>
  </si>
  <si>
    <t>Willam Corbett Farms</t>
  </si>
  <si>
    <t>Austrey House Farm</t>
  </si>
  <si>
    <t>CV9 3EA</t>
  </si>
  <si>
    <t>Forage crops</t>
  </si>
  <si>
    <t>Bagley Biogas</t>
  </si>
  <si>
    <t>SY12 9BY</t>
  </si>
  <si>
    <t>Maize, poultry litter, fodder beet &amp; farm yard manure</t>
  </si>
  <si>
    <t>North of Northern Ireland</t>
  </si>
  <si>
    <t>Ballyrashane Co-Op Agricultural And Dairy Society Ltd</t>
  </si>
  <si>
    <t>Ballyrashane AD</t>
  </si>
  <si>
    <t>BT52 2NE</t>
  </si>
  <si>
    <t>Cattle manure, maize silage &amp; dairy waste</t>
  </si>
  <si>
    <t>Oxfordshire</t>
  </si>
  <si>
    <t>Thames Water Utilities</t>
  </si>
  <si>
    <t>Banbury Sewage Treatment Works</t>
  </si>
  <si>
    <t>OX16 4RZ</t>
  </si>
  <si>
    <t>SSE</t>
  </si>
  <si>
    <t>Barkip AD</t>
  </si>
  <si>
    <t>KA24 4JJ</t>
  </si>
  <si>
    <t>Energy crops &amp; food waste</t>
  </si>
  <si>
    <t>Rattlerow Farms</t>
  </si>
  <si>
    <t>Barley Brigg Farm</t>
  </si>
  <si>
    <t>IP21 5NQ</t>
  </si>
  <si>
    <t>Farm yard manures, poultry litter, energy crops, sugar beet pulp &amp; herb residues</t>
  </si>
  <si>
    <t>West &amp; South of Northern Ireland</t>
  </si>
  <si>
    <t>J Wauchob</t>
  </si>
  <si>
    <t>Baronscourt Estate</t>
  </si>
  <si>
    <t>BT78 4EY</t>
  </si>
  <si>
    <t>Crop silage &amp; cattle slurry</t>
  </si>
  <si>
    <t>Severn Trent Green Power</t>
  </si>
  <si>
    <t>Battle Farm</t>
  </si>
  <si>
    <t>OX10 6SL</t>
  </si>
  <si>
    <t>Food waste &amp; crop silage</t>
  </si>
  <si>
    <t>Material Change/Strutt &amp; Parker Farms</t>
  </si>
  <si>
    <t>Bay Farm</t>
  </si>
  <si>
    <t>IP28 6BS</t>
  </si>
  <si>
    <t>Sugar beet, maize, agricultural residues &amp; animal manures</t>
  </si>
  <si>
    <t>Leicestershire</t>
  </si>
  <si>
    <t>Belmont Farms</t>
  </si>
  <si>
    <t>LE14 2QN</t>
  </si>
  <si>
    <t>Grass silage, Maize &amp; whey permeate</t>
  </si>
  <si>
    <t>East of Northern Ireland</t>
  </si>
  <si>
    <t>Bingham Energy Ltd</t>
  </si>
  <si>
    <t>Bingham Energy AD</t>
  </si>
  <si>
    <t>BT29 4YR</t>
  </si>
  <si>
    <t>Slurry, silage</t>
  </si>
  <si>
    <t>Eastern Scotland</t>
  </si>
  <si>
    <t>TEG Biogas</t>
  </si>
  <si>
    <t>Binn Farm / Earnside Energy</t>
  </si>
  <si>
    <t>PH2 9PX</t>
  </si>
  <si>
    <t>Food waste &amp; animal processing wastes</t>
  </si>
  <si>
    <t>Nottinghamshire</t>
  </si>
  <si>
    <t>Biogas Meden</t>
  </si>
  <si>
    <t>NG20 9PU</t>
  </si>
  <si>
    <t>Maize Silage</t>
  </si>
  <si>
    <t>SW</t>
  </si>
  <si>
    <t>Wiltshire</t>
  </si>
  <si>
    <t>Eco Verde Energy</t>
  </si>
  <si>
    <t>Biomethane Castle Eaton</t>
  </si>
  <si>
    <t>SN6 6JX</t>
  </si>
  <si>
    <t>Cattle manure, poultry manure &amp; maize silage</t>
  </si>
  <si>
    <t>Gloucestershire</t>
  </si>
  <si>
    <t>Bishops Cleeve</t>
  </si>
  <si>
    <t>GL52 7DG</t>
  </si>
  <si>
    <t>Worcestershire</t>
  </si>
  <si>
    <t>Essential Supply Products</t>
  </si>
  <si>
    <t>Blackmore Park</t>
  </si>
  <si>
    <t>WR8 0EF</t>
  </si>
  <si>
    <t>Energy crops</t>
  </si>
  <si>
    <t>Dorset</t>
  </si>
  <si>
    <t>Blackmore Vale Dairies</t>
  </si>
  <si>
    <t>Blackmore Vale Farm</t>
  </si>
  <si>
    <t>SP7 8QD</t>
  </si>
  <si>
    <t>Waste water from dairy plant</t>
  </si>
  <si>
    <t>Kent</t>
  </si>
  <si>
    <t>Blaise Biogas Limited</t>
  </si>
  <si>
    <t>Blaise Farm Quarry</t>
  </si>
  <si>
    <t>ME19 4PN</t>
  </si>
  <si>
    <t>South Yorkshire</t>
  </si>
  <si>
    <t xml:space="preserve">Shanks Waste Management </t>
  </si>
  <si>
    <t>Bolton Road Waste Treatment and Renewable Energy Facility</t>
  </si>
  <si>
    <t>S63 5DF</t>
  </si>
  <si>
    <t xml:space="preserve">Bombardier Aerospace </t>
  </si>
  <si>
    <t>Bombardier Aerospace Hawlmark</t>
  </si>
  <si>
    <t>BT23 4AF</t>
  </si>
  <si>
    <t>Commercial and industrial food waste</t>
  </si>
  <si>
    <t>Malaby Biogas</t>
  </si>
  <si>
    <t>Bore Hill Farm</t>
  </si>
  <si>
    <t>BA12 8BD</t>
  </si>
  <si>
    <t>Food waste &amp; animal by-products</t>
  </si>
  <si>
    <t>Eco Sustainable Solutions</t>
  </si>
  <si>
    <t>Bourne Park AD</t>
  </si>
  <si>
    <t>DT2 7TU</t>
  </si>
  <si>
    <t>Food waste &amp; pig slurry</t>
  </si>
  <si>
    <t>Herefordshire</t>
  </si>
  <si>
    <t>Mr J Mercer</t>
  </si>
  <si>
    <t>Bowley Court Farm</t>
  </si>
  <si>
    <t>HR6 0PL</t>
  </si>
  <si>
    <t>Maize silage, grass silage, potatoes &amp; cattle slurry</t>
  </si>
  <si>
    <t>Stracathro Renewable Energy Ltd</t>
  </si>
  <si>
    <t>Brae of Pert Farm</t>
  </si>
  <si>
    <t>AB30 1QR</t>
  </si>
  <si>
    <t>Grass silage, wholecrop rye, energy beet &amp; straw</t>
  </si>
  <si>
    <t>JC Channing &amp; Sons</t>
  </si>
  <si>
    <t>Brandon Grange Farm</t>
  </si>
  <si>
    <t>CV8 3GE</t>
  </si>
  <si>
    <t>Maize &amp; manures</t>
  </si>
  <si>
    <t>NE</t>
  </si>
  <si>
    <t>Northumberland</t>
  </si>
  <si>
    <t>Codlaw Renewable Energy Ltd</t>
  </si>
  <si>
    <t>Bridge End Water Treatment Works AD</t>
  </si>
  <si>
    <t>NE46 1HA</t>
  </si>
  <si>
    <t>Food waste &amp; crops</t>
  </si>
  <si>
    <t>North Lincolnshire</t>
  </si>
  <si>
    <t>Brigg Lane Biogas</t>
  </si>
  <si>
    <t>Brigg Lane Biogas AD</t>
  </si>
  <si>
    <t>DN20 0PJ</t>
  </si>
  <si>
    <t>West Sussex</t>
  </si>
  <si>
    <t>Broadley Energy Ltd</t>
  </si>
  <si>
    <t>Broadley Copse</t>
  </si>
  <si>
    <t>PO18 9BT</t>
  </si>
  <si>
    <t>Pig manure, dirty water, maize</t>
  </si>
  <si>
    <t>N Forsyth &amp; Son</t>
  </si>
  <si>
    <t>Broadwigg Farm</t>
  </si>
  <si>
    <t>DG8 8DN</t>
  </si>
  <si>
    <t>Cattle slurry &amp; poultry manure</t>
  </si>
  <si>
    <t>East Riding of Yorkshire</t>
  </si>
  <si>
    <t>Iona Capital</t>
  </si>
  <si>
    <t>Brocklesbys AD</t>
  </si>
  <si>
    <t>HU15 2PG</t>
  </si>
  <si>
    <t>T Johnson</t>
  </si>
  <si>
    <t>Bromham House Farm</t>
  </si>
  <si>
    <t>SN15 2DX</t>
  </si>
  <si>
    <t>Maize, rye, animal slurries &amp; animal manures</t>
  </si>
  <si>
    <t>Staffordshire</t>
  </si>
  <si>
    <t>Lower Reule Bioenergy</t>
  </si>
  <si>
    <t>Brookfield Farm</t>
  </si>
  <si>
    <t>ST20 0EA</t>
  </si>
  <si>
    <t>Food waste, manure &amp; crops</t>
  </si>
  <si>
    <t>Biffa</t>
  </si>
  <si>
    <t>Brookhurst Wood</t>
  </si>
  <si>
    <t>RH12 4QD</t>
  </si>
  <si>
    <t>Derbyshire</t>
  </si>
  <si>
    <t>Easom &amp; Sons</t>
  </si>
  <si>
    <t>Broom House Farm</t>
  </si>
  <si>
    <t>DE55 7LL</t>
  </si>
  <si>
    <t>Cattle slurry &amp; energy crops</t>
  </si>
  <si>
    <t>Whitchurch Biogas Ltd</t>
  </si>
  <si>
    <t>Broughall Fields Farm</t>
  </si>
  <si>
    <t>SY13 4DE</t>
  </si>
  <si>
    <t>Grass silage, poultry manure &amp; food manufacturing (cheese) waste</t>
  </si>
  <si>
    <t>East Wales</t>
  </si>
  <si>
    <t>Bryn Power</t>
  </si>
  <si>
    <t>Bryn Quarry</t>
  </si>
  <si>
    <t>CF82 8FY</t>
  </si>
  <si>
    <t xml:space="preserve">Food waste, animal slurries &amp; energy crops </t>
  </si>
  <si>
    <t>Unilever</t>
  </si>
  <si>
    <t>Burton Marmite Factory AD</t>
  </si>
  <si>
    <t>DE14 2AB</t>
  </si>
  <si>
    <t>Brewery wastewater</t>
  </si>
  <si>
    <t xml:space="preserve">British Sugar  </t>
  </si>
  <si>
    <t>Bury St Edmonds sugar factory</t>
  </si>
  <si>
    <t>IP32 7BB</t>
  </si>
  <si>
    <t>Sugar beet processing waste</t>
  </si>
  <si>
    <t>Hertfordshire</t>
  </si>
  <si>
    <t>Hallwick Energy</t>
  </si>
  <si>
    <t>Buttermilk Farm</t>
  </si>
  <si>
    <t>SG9 9RH</t>
  </si>
  <si>
    <t>Maize silage</t>
  </si>
  <si>
    <t>Biogen</t>
  </si>
  <si>
    <t>Bygrave Lodge Farm</t>
  </si>
  <si>
    <t>SG7 6QX</t>
  </si>
  <si>
    <t>Diageo</t>
  </si>
  <si>
    <t>Cameron Bridge Distillery</t>
  </si>
  <si>
    <t>KY8 5RL</t>
  </si>
  <si>
    <t>Brewery waste</t>
  </si>
  <si>
    <t>Camieston Renewables Ltd</t>
  </si>
  <si>
    <t>Camieston Farm AD</t>
  </si>
  <si>
    <t>TD6 0HJ</t>
  </si>
  <si>
    <t>Silage and manure</t>
  </si>
  <si>
    <t>Norfolk</t>
  </si>
  <si>
    <t>Strutt &amp; Parker Farms</t>
  </si>
  <si>
    <t>Camp Farm</t>
  </si>
  <si>
    <t>NR16 2RX</t>
  </si>
  <si>
    <t>Maize, vegetable outgrades, animal manure &amp; rye</t>
  </si>
  <si>
    <t>Somerset</t>
  </si>
  <si>
    <t>Cannington Enterprises</t>
  </si>
  <si>
    <t>Cannington Cold Stores</t>
  </si>
  <si>
    <t>TA5 2NJ</t>
  </si>
  <si>
    <t>Kelda Organic Energy</t>
  </si>
  <si>
    <t>Cardiff Waste Water Treatment Works (Food waste)</t>
  </si>
  <si>
    <t>CF24 5SB</t>
  </si>
  <si>
    <t>Hampshire</t>
  </si>
  <si>
    <t xml:space="preserve">Carousel Dairy </t>
  </si>
  <si>
    <t>RG23 7LW</t>
  </si>
  <si>
    <t>Food waste &amp; animal slurries</t>
  </si>
  <si>
    <t>Beeswax Farming</t>
  </si>
  <si>
    <t>Carrington Farm</t>
  </si>
  <si>
    <t>PE22 7JD</t>
  </si>
  <si>
    <t>Maize silage &amp; grass silage</t>
  </si>
  <si>
    <t>Agrivert</t>
  </si>
  <si>
    <t>Cassington AD</t>
  </si>
  <si>
    <t>OX29 4FL</t>
  </si>
  <si>
    <t>Willen Biogas</t>
  </si>
  <si>
    <t>Cattlegate Farm</t>
  </si>
  <si>
    <t>EN2 8AU</t>
  </si>
  <si>
    <t>CorrBoard Bioenergy Ltd</t>
  </si>
  <si>
    <t>CB Bio</t>
  </si>
  <si>
    <t>DN15 9GE</t>
  </si>
  <si>
    <t>Muntons</t>
  </si>
  <si>
    <t>Cedars Maltings</t>
  </si>
  <si>
    <t>IP14 2AG</t>
  </si>
  <si>
    <t xml:space="preserve">Brewery waste </t>
  </si>
  <si>
    <t>Hoddom &amp; Kinmount Estates</t>
  </si>
  <si>
    <t>Charlesfield Farm</t>
  </si>
  <si>
    <t>DG12 5RG</t>
  </si>
  <si>
    <t>Grass silage, maize &amp; animal manures</t>
  </si>
  <si>
    <t>St Boswell Biogas</t>
  </si>
  <si>
    <t>Charlesfield Industrial Estate (2)</t>
  </si>
  <si>
    <t>TD6 0HH</t>
  </si>
  <si>
    <t>Cereal &amp; vegetable crops</t>
  </si>
  <si>
    <t>Surrey</t>
  </si>
  <si>
    <t>SITA</t>
  </si>
  <si>
    <t>Charlton Lane Eco Park</t>
  </si>
  <si>
    <t>TW17 8QA</t>
  </si>
  <si>
    <t>Organic fraction of MSW &amp; C&amp;I waste</t>
  </si>
  <si>
    <t>Raw Energy</t>
  </si>
  <si>
    <t>Charlton Park Farm</t>
  </si>
  <si>
    <t>SN16 0HT</t>
  </si>
  <si>
    <t>Grass silage, maize silage, rye, slurry &amp; poultry manure</t>
  </si>
  <si>
    <t>Bedfordshire</t>
  </si>
  <si>
    <t>My Fresh Prepared Produce</t>
  </si>
  <si>
    <t>Chicksands Vegetable Processing Plant</t>
  </si>
  <si>
    <t>SG17 5QB</t>
  </si>
  <si>
    <t>Vegetable waste streams</t>
  </si>
  <si>
    <t>Qila Energy</t>
  </si>
  <si>
    <t>Clapgate Farm</t>
  </si>
  <si>
    <t>LN9 6QU</t>
  </si>
  <si>
    <t>Wheat straw, duck manure, maize silage, grass silage, oat husks &amp; poultry litter</t>
  </si>
  <si>
    <t>Strathendrick Biogas</t>
  </si>
  <si>
    <t>Claylands Farm</t>
  </si>
  <si>
    <t>G63 0RR</t>
  </si>
  <si>
    <t>Cattle slurry &amp; brewery waste</t>
  </si>
  <si>
    <t>West Yorkshire</t>
  </si>
  <si>
    <t>Clayton Hall Farm</t>
  </si>
  <si>
    <t>HD8 9QE</t>
  </si>
  <si>
    <t>Cattle slurry, maize &amp; bakery waste</t>
  </si>
  <si>
    <t>Cleat Hill Energy</t>
  </si>
  <si>
    <t>Cleat Hill Farm</t>
  </si>
  <si>
    <t>B79 9HB</t>
  </si>
  <si>
    <t>Devon</t>
  </si>
  <si>
    <t>Buddleford Estates</t>
  </si>
  <si>
    <t>Clyst Hydon AD</t>
  </si>
  <si>
    <t>EX15 2NH</t>
  </si>
  <si>
    <t>Straw bedding, cattle manure &amp; vegetable outgrades</t>
  </si>
  <si>
    <t>Greater Manchester</t>
  </si>
  <si>
    <t>Viridor</t>
  </si>
  <si>
    <t>Cobden Street AD</t>
  </si>
  <si>
    <t>M6 6NA</t>
  </si>
  <si>
    <t>JM Stratton &amp; Co</t>
  </si>
  <si>
    <t>Codford Biogas</t>
  </si>
  <si>
    <t>BA12 0FD</t>
  </si>
  <si>
    <t>A &amp; E G Heading Ltd</t>
  </si>
  <si>
    <t>Colony Farm AD</t>
  </si>
  <si>
    <t>PE15 0HN</t>
  </si>
  <si>
    <t>BtG</t>
  </si>
  <si>
    <t>Maize, straw, sugar beet pulp</t>
  </si>
  <si>
    <t>Bio Dynamic / Air Liquide</t>
  </si>
  <si>
    <t>Colwick Industrial Estate</t>
  </si>
  <si>
    <t>NG4 2JT</t>
  </si>
  <si>
    <t>A Dickson</t>
  </si>
  <si>
    <t>Comber Road AD</t>
  </si>
  <si>
    <t>BT26 6NA</t>
  </si>
  <si>
    <t>Energy crops &amp; animal slurries</t>
  </si>
  <si>
    <t>Engie</t>
  </si>
  <si>
    <t>Condate Biogas</t>
  </si>
  <si>
    <t>EX36 4LB</t>
  </si>
  <si>
    <t>Energy crops &amp; chicken litter</t>
  </si>
  <si>
    <t>Durham</t>
  </si>
  <si>
    <t>Hallwick Energy/Allium Energy</t>
  </si>
  <si>
    <t>Consett AD Plant</t>
  </si>
  <si>
    <t>DH8 7ND</t>
  </si>
  <si>
    <t>Grass silage, maize silage &amp; wholecrop silage</t>
  </si>
  <si>
    <t>S Davies</t>
  </si>
  <si>
    <t>Coomb Farm</t>
  </si>
  <si>
    <t>SA33 5HP</t>
  </si>
  <si>
    <t>Cattle slurry &amp; manure</t>
  </si>
  <si>
    <t>BioCapital Ltd</t>
  </si>
  <si>
    <t>Corbiere Renewables</t>
  </si>
  <si>
    <t>NR21 7DY</t>
  </si>
  <si>
    <t>Animal manures &amp; energy crops</t>
  </si>
  <si>
    <t>Corner Renewable Energy</t>
  </si>
  <si>
    <t>Corner AD</t>
  </si>
  <si>
    <t>NR10 4DT</t>
  </si>
  <si>
    <t>Maize and rye</t>
  </si>
  <si>
    <t>Greener for Life Energy</t>
  </si>
  <si>
    <t>Coston Hall</t>
  </si>
  <si>
    <t>NR9 4DT</t>
  </si>
  <si>
    <t>Energy crops &amp; animal manure</t>
  </si>
  <si>
    <t>STL Energy</t>
  </si>
  <si>
    <t>Court Farm</t>
  </si>
  <si>
    <t>HR1 4JU</t>
  </si>
  <si>
    <t>Apple pomace, maize &amp; cattle slurry</t>
  </si>
  <si>
    <t>Oncoland Energy Ltd</t>
  </si>
  <si>
    <t>Court Lodge</t>
  </si>
  <si>
    <t>DA4 9DU</t>
  </si>
  <si>
    <t>Maize &amp; grass silage, slurry &amp; manure, processing residues</t>
  </si>
  <si>
    <t>Essex</t>
  </si>
  <si>
    <t>Essex City Council</t>
  </si>
  <si>
    <t>Courtauld Road AD</t>
  </si>
  <si>
    <t>SS13 1DB</t>
  </si>
  <si>
    <t>Crofthead Biogas</t>
  </si>
  <si>
    <t>DG2 8QW</t>
  </si>
  <si>
    <t>Cattle slurry, manures, energy crops and dairy residues</t>
  </si>
  <si>
    <t>Stanton Energy Limited</t>
  </si>
  <si>
    <t>Crompton Road AD</t>
  </si>
  <si>
    <t>DE7 4BG</t>
  </si>
  <si>
    <t>Green waste, maize silage, manure, food waste, used cooking oil</t>
  </si>
  <si>
    <t>Shanks</t>
  </si>
  <si>
    <t>Cumbernauld AD</t>
  </si>
  <si>
    <t>G67 3EN</t>
  </si>
  <si>
    <t>W Paul</t>
  </si>
  <si>
    <t>Curragh Road AD</t>
  </si>
  <si>
    <t>BT46 5ER</t>
  </si>
  <si>
    <t>North East Scotland</t>
  </si>
  <si>
    <t>Dailuaine Distillery</t>
  </si>
  <si>
    <t>AB38 7RE</t>
  </si>
  <si>
    <t>Bio Group</t>
  </si>
  <si>
    <t>DBE Energy</t>
  </si>
  <si>
    <t>GU6 8TB</t>
  </si>
  <si>
    <t>Biopower Harlepool</t>
  </si>
  <si>
    <t>Dean Group Business Park AD</t>
  </si>
  <si>
    <t>TS25 2BW</t>
  </si>
  <si>
    <t>Energy crops, animal manures, food waste, animal processing wastes &amp; green waste</t>
  </si>
  <si>
    <t>Organic Recycling</t>
  </si>
  <si>
    <t>Decoy Farm</t>
  </si>
  <si>
    <t>PE6 0LX</t>
  </si>
  <si>
    <t>Energy crops &amp; vegetable waste</t>
  </si>
  <si>
    <t>Scottish Water Horizons</t>
  </si>
  <si>
    <t>Deerdykes Composting and Organics Recycling Facility</t>
  </si>
  <si>
    <t>G68 9NB</t>
  </si>
  <si>
    <t>Derby Sewage Treatment AD</t>
  </si>
  <si>
    <t>DE21 7BR</t>
  </si>
  <si>
    <t>Dimmer Landfill AD</t>
  </si>
  <si>
    <t>BA7 7NR</t>
  </si>
  <si>
    <t>Unspecified waste</t>
  </si>
  <si>
    <t>Buchan Biogas</t>
  </si>
  <si>
    <t>Downiehills Farm</t>
  </si>
  <si>
    <t>AB42 3LJ</t>
  </si>
  <si>
    <t>Grass silage, wheat, food waste &amp; animal slurries</t>
  </si>
  <si>
    <t>N Wylie</t>
  </si>
  <si>
    <t>Drumflugh Road AD</t>
  </si>
  <si>
    <t>BT71 7QF</t>
  </si>
  <si>
    <t>Animal slurry, poultry litter &amp; energy crops</t>
  </si>
  <si>
    <t>M Taylor</t>
  </si>
  <si>
    <t>Drumslade Road AD</t>
  </si>
  <si>
    <t>BT52 1SE</t>
  </si>
  <si>
    <t>Grass silage &amp; cattle slurry</t>
  </si>
  <si>
    <t>Cumbria Biogas</t>
  </si>
  <si>
    <t>Dryholme Farm</t>
  </si>
  <si>
    <t>CA7 4PZ</t>
  </si>
  <si>
    <t>Maize silage &amp; manure</t>
  </si>
  <si>
    <t>PT Baker Farms</t>
  </si>
  <si>
    <t>Eardisley Park Farm</t>
  </si>
  <si>
    <t>HR3 6NT</t>
  </si>
  <si>
    <t>Energy crops &amp; poultry manure</t>
  </si>
  <si>
    <t>East Birmingham AD Facility (Coleshill)</t>
  </si>
  <si>
    <t>B46 1DG</t>
  </si>
  <si>
    <t>AEL Biogas</t>
  </si>
  <si>
    <t>East Kirkby Airfield</t>
  </si>
  <si>
    <t>PE23 4DE</t>
  </si>
  <si>
    <t>Energy crops, vegetable outgrades &amp; pig slurry</t>
  </si>
  <si>
    <t>Iain Service &amp; Co Ltd</t>
  </si>
  <si>
    <t>East Knockbrex AD</t>
  </si>
  <si>
    <t>DG8 6QF</t>
  </si>
  <si>
    <t>Cattle slurry</t>
  </si>
  <si>
    <t>LDN</t>
  </si>
  <si>
    <t>Greater London</t>
  </si>
  <si>
    <t>East London Biogas</t>
  </si>
  <si>
    <t>RM9 6FL</t>
  </si>
  <si>
    <t>Clean Power Properties</t>
  </si>
  <si>
    <t>Eastleigh Array Energy Recovery Centre</t>
  </si>
  <si>
    <t>SO50 6RQ</t>
  </si>
  <si>
    <t>St Nicholas Court Farms</t>
  </si>
  <si>
    <t>Ebbsfleet Farm</t>
  </si>
  <si>
    <t>CT12 5DL</t>
  </si>
  <si>
    <t>Enva Organics</t>
  </si>
  <si>
    <t>Edge Farm Composting</t>
  </si>
  <si>
    <t>G72 2LE</t>
  </si>
  <si>
    <t>Green waste</t>
  </si>
  <si>
    <t>Cranbrook Renewables</t>
  </si>
  <si>
    <t>Edgeworthy Farm</t>
  </si>
  <si>
    <t>EX16 8NL</t>
  </si>
  <si>
    <t>Animal slurries, poultry manure &amp; cattle manure</t>
  </si>
  <si>
    <t>Argent Energy</t>
  </si>
  <si>
    <t>Ellesmere Port Biodiesel Plant</t>
  </si>
  <si>
    <t>CH65 4EY</t>
  </si>
  <si>
    <t>Biodiesel processing waste</t>
  </si>
  <si>
    <t>Eco Verde Energy / Privilege Finance</t>
  </si>
  <si>
    <t>Ellough AD</t>
  </si>
  <si>
    <t>NR34 7TL</t>
  </si>
  <si>
    <t>Energy crops &amp; sugar beet pulp</t>
  </si>
  <si>
    <t>Spencer Group</t>
  </si>
  <si>
    <t>Energy Works Hull</t>
  </si>
  <si>
    <t>HU8 8AD</t>
  </si>
  <si>
    <t>Euston Biogas</t>
  </si>
  <si>
    <t>IP24 2QP</t>
  </si>
  <si>
    <t>Maize</t>
  </si>
  <si>
    <t>Adapt Biogas</t>
  </si>
  <si>
    <t>Evercreech Junction</t>
  </si>
  <si>
    <t>BA4 6LX</t>
  </si>
  <si>
    <t>Food waste &amp; unspecified agricultural wastes</t>
  </si>
  <si>
    <t>Trade Effluent Services</t>
  </si>
  <si>
    <t>Factory Road AD</t>
  </si>
  <si>
    <t>CH5 2DD</t>
  </si>
  <si>
    <t>C&amp;I food waste</t>
  </si>
  <si>
    <t>Biogen/Ancala</t>
  </si>
  <si>
    <t>Fairfields Farm</t>
  </si>
  <si>
    <t>CO6 3AQ</t>
  </si>
  <si>
    <t>Grass silage, rye &amp; maize</t>
  </si>
  <si>
    <t>Lancashire</t>
  </si>
  <si>
    <t>Global Renewables Lancashire Ltd/ Lancashire Council</t>
  </si>
  <si>
    <t>Farington Waste Recovery Park</t>
  </si>
  <si>
    <t>PR26 6TB</t>
  </si>
  <si>
    <t>Apsley Energy</t>
  </si>
  <si>
    <t>Faulkners Down Farm</t>
  </si>
  <si>
    <t>SP11 6LZ</t>
  </si>
  <si>
    <t>Maize, wheat &amp; energy beet</t>
  </si>
  <si>
    <t>Northamptonshire</t>
  </si>
  <si>
    <t>Fernbrook Bio</t>
  </si>
  <si>
    <t>Fernbrook AD</t>
  </si>
  <si>
    <t>NN16 8XF</t>
  </si>
  <si>
    <t>G Reynolds</t>
  </si>
  <si>
    <t>Forest Farm</t>
  </si>
  <si>
    <t>TN17 4LG</t>
  </si>
  <si>
    <t>Cattle slurry, farm yard manure, poultry manure, rye silage, maize &amp; beet</t>
  </si>
  <si>
    <t>Merseyside</t>
  </si>
  <si>
    <t>Olleco</t>
  </si>
  <si>
    <t>Foster Street AD</t>
  </si>
  <si>
    <t>L20 8EX</t>
  </si>
  <si>
    <t xml:space="preserve">Waste streams from UCO biodiesel production </t>
  </si>
  <si>
    <t>2 Sisters Food Group</t>
  </si>
  <si>
    <t>Foxhills Industrial Estate</t>
  </si>
  <si>
    <t>DN15 8QW</t>
  </si>
  <si>
    <t>Poultry processing waste</t>
  </si>
  <si>
    <t>GC Davies &amp; Co.</t>
  </si>
  <si>
    <t>Foxholes Farm</t>
  </si>
  <si>
    <t>SY4 2LG</t>
  </si>
  <si>
    <t>Cornwall</t>
  </si>
  <si>
    <t>Greener for Life Energy/Material Change</t>
  </si>
  <si>
    <t>Fraddon AD</t>
  </si>
  <si>
    <t>TR9 6NL</t>
  </si>
  <si>
    <t>Pig slurry &amp; bakery waste</t>
  </si>
  <si>
    <t>Frog Island AD</t>
  </si>
  <si>
    <t>RM13 8EN</t>
  </si>
  <si>
    <t>Trinity Organics / Perpetual Next</t>
  </si>
  <si>
    <t>Garth Road AD</t>
  </si>
  <si>
    <t>CH65 4ET</t>
  </si>
  <si>
    <t>Agricultural residues</t>
  </si>
  <si>
    <t>J Rennie &amp; Son</t>
  </si>
  <si>
    <t>Gask Farm</t>
  </si>
  <si>
    <t>AB53 8BP</t>
  </si>
  <si>
    <t>Pig slurry &amp; animal processing wastes</t>
  </si>
  <si>
    <t>Bristol</t>
  </si>
  <si>
    <t>GENeco</t>
  </si>
  <si>
    <t>GENeco Food Waste Recycling Plant</t>
  </si>
  <si>
    <t>BS11 0YS</t>
  </si>
  <si>
    <t>Mr J McIntosh</t>
  </si>
  <si>
    <t>Genoch Mains Farm</t>
  </si>
  <si>
    <t>DG9 9ES</t>
  </si>
  <si>
    <t>Cattle slurry. Grass silage &amp; maize silage</t>
  </si>
  <si>
    <t>Genoch Mains Farm (Extension)</t>
  </si>
  <si>
    <t>Grissan Energy</t>
  </si>
  <si>
    <t>Girvan Distillery 1</t>
  </si>
  <si>
    <t>KA26 9PL</t>
  </si>
  <si>
    <t>Glasgow Renewable Energy and Recycling Centre</t>
  </si>
  <si>
    <t>G42 0PJ</t>
  </si>
  <si>
    <t>Glendullan Distillery</t>
  </si>
  <si>
    <t>AB55 4DJ</t>
  </si>
  <si>
    <t>Highlands &amp; Islands</t>
  </si>
  <si>
    <t>William Grant &amp; Sons</t>
  </si>
  <si>
    <t>Glenfiddich Distillery</t>
  </si>
  <si>
    <t>AB55 4DH</t>
  </si>
  <si>
    <t>Distillery wastes</t>
  </si>
  <si>
    <t>Glenmorangie</t>
  </si>
  <si>
    <t>Glenmorangie Distillery</t>
  </si>
  <si>
    <t>IV19 1PZ</t>
  </si>
  <si>
    <t>Heat only</t>
  </si>
  <si>
    <t>A Williams</t>
  </si>
  <si>
    <t>Gobrana Road AD</t>
  </si>
  <si>
    <t>BT29 4LQ</t>
  </si>
  <si>
    <t>Maize silage, grass silage &amp; animal slurry</t>
  </si>
  <si>
    <t>Gorst Energy</t>
  </si>
  <si>
    <t xml:space="preserve">EX5 1AF </t>
  </si>
  <si>
    <t>Pig slurry, chicken litter, maize silage &amp; wheat</t>
  </si>
  <si>
    <t>Grange Farm (Snetterton)</t>
  </si>
  <si>
    <t>NR16 2LA</t>
  </si>
  <si>
    <t xml:space="preserve">Cattle manure, poultry litter, maize silage, forage rye, grass silage &amp; wholecrop rye </t>
  </si>
  <si>
    <t>RHJ Farms</t>
  </si>
  <si>
    <t>Grange Farm (Spilsby)</t>
  </si>
  <si>
    <t>PE23 5DD</t>
  </si>
  <si>
    <t>farm yard manure, wholecrop wheat &amp; pig slurry</t>
  </si>
  <si>
    <t>Grange Farm Energy</t>
  </si>
  <si>
    <t>Grange Farm (Spridlington)</t>
  </si>
  <si>
    <t>LN8 2DN</t>
  </si>
  <si>
    <t>Maize &amp; grass silage</t>
  </si>
  <si>
    <t>Taylor Farms</t>
  </si>
  <si>
    <t>Grange Farm (Swalcliffe)</t>
  </si>
  <si>
    <t>OX15 5EX</t>
  </si>
  <si>
    <t>Maize, energy beet, poultry litter, slurry &amp; farm yard manure</t>
  </si>
  <si>
    <t>Gravel Pit Farm Biogas</t>
  </si>
  <si>
    <t>Gravel Pit Farm</t>
  </si>
  <si>
    <t>YO41 1LN</t>
  </si>
  <si>
    <t>Brecon Beacons National Park</t>
  </si>
  <si>
    <t>Great Porthamel Farm</t>
  </si>
  <si>
    <t>LD3 0DL</t>
  </si>
  <si>
    <t>Animal manure, maize &amp; animal processing waste</t>
  </si>
  <si>
    <t>AC Shropshire</t>
  </si>
  <si>
    <t>Green Lodge Farm</t>
  </si>
  <si>
    <t>LE9 3LE</t>
  </si>
  <si>
    <t>Pig slurry &amp; food waste</t>
  </si>
  <si>
    <t>Hayton Agriculture Ltd</t>
  </si>
  <si>
    <t>Greengills Farm</t>
  </si>
  <si>
    <t>CA11 8SE</t>
  </si>
  <si>
    <t>Maize, grass silage &amp; manure</t>
  </si>
  <si>
    <t>Isle of Wight</t>
  </si>
  <si>
    <t>Black Dog Biogas</t>
  </si>
  <si>
    <t>Greenhill AD</t>
  </si>
  <si>
    <t>PO30 5TS</t>
  </si>
  <si>
    <t>Maize silgae &amp; cattle slurry</t>
  </si>
  <si>
    <t>Pretoria Energy</t>
  </si>
  <si>
    <t>Greys Farm</t>
  </si>
  <si>
    <t>CB6 2AZ</t>
  </si>
  <si>
    <t>Grindley House Farm</t>
  </si>
  <si>
    <t>ST18 0LR</t>
  </si>
  <si>
    <t>Maize silage, grass silage, animal slurry &amp; poultry litter</t>
  </si>
  <si>
    <t>GwyriAD</t>
  </si>
  <si>
    <t>LL54 5DF</t>
  </si>
  <si>
    <t>Halstead AD</t>
  </si>
  <si>
    <t>CO9 2SZ</t>
  </si>
  <si>
    <t xml:space="preserve">Burton Agnes Renewables Ltd </t>
  </si>
  <si>
    <t>Harpham Grange Farm</t>
  </si>
  <si>
    <t>YO25 4NE</t>
  </si>
  <si>
    <t>Maize, rye, poultry litter, pig manure &amp; pig slurry</t>
  </si>
  <si>
    <t>Hatton Farm AD</t>
  </si>
  <si>
    <t>DD7 6LP</t>
  </si>
  <si>
    <t>Maize silage, rye silage, sugar beet</t>
  </si>
  <si>
    <t>Normans Farm Gas Power Ltd</t>
  </si>
  <si>
    <t>Haznortra Farm AD</t>
  </si>
  <si>
    <t>CH64 8TQ</t>
  </si>
  <si>
    <t>Cattle slurry. Silage</t>
  </si>
  <si>
    <t>Agraferm/Future Biogas</t>
  </si>
  <si>
    <t>Heath Farm (Metheringham)</t>
  </si>
  <si>
    <t>LN4 2AL</t>
  </si>
  <si>
    <t>Material Change</t>
  </si>
  <si>
    <t>Helmdon AD</t>
  </si>
  <si>
    <t>NN13 5QD</t>
  </si>
  <si>
    <t>Green waste &amp; maize silage</t>
  </si>
  <si>
    <t>BioteCH4</t>
  </si>
  <si>
    <t>Hemswell Cliff Industrial Estate</t>
  </si>
  <si>
    <t>DN21 5TU</t>
  </si>
  <si>
    <t>Berkshire</t>
  </si>
  <si>
    <t>RKE BioGroup / Barfoots Energy</t>
  </si>
  <si>
    <t>Herriard Estate</t>
  </si>
  <si>
    <t>RG25 2NS</t>
  </si>
  <si>
    <t>Food waste &amp; energy crops</t>
  </si>
  <si>
    <t>Merlin Renewables</t>
  </si>
  <si>
    <t>Hibaldstow Airfield</t>
  </si>
  <si>
    <t>DN20 9NN</t>
  </si>
  <si>
    <t>High Hedley Hope Farm</t>
  </si>
  <si>
    <t>DL13 4PR</t>
  </si>
  <si>
    <t>Animal slurry, grass silage &amp; animal processing waste</t>
  </si>
  <si>
    <t>Melbury Bioenergy Ltd</t>
  </si>
  <si>
    <t>Higher Holt Farm</t>
  </si>
  <si>
    <t>DT2 0LX</t>
  </si>
  <si>
    <t>Manure &amp; slurry</t>
  </si>
  <si>
    <t>Brinklow Biogas</t>
  </si>
  <si>
    <t>Highwood Farm</t>
  </si>
  <si>
    <t>CV23 0NJ</t>
  </si>
  <si>
    <t>Boxford (Suffolk) Farms</t>
  </si>
  <si>
    <t>Hill Farm (Polstead)</t>
  </si>
  <si>
    <t>CO10 5NY</t>
  </si>
  <si>
    <t>Animal slurry, energy crops &amp; apple processing waste</t>
  </si>
  <si>
    <t>Hay Farms</t>
  </si>
  <si>
    <t>Hill Top Farm AD</t>
  </si>
  <si>
    <t>WF9 5JB</t>
  </si>
  <si>
    <t>Poultry manure</t>
  </si>
  <si>
    <t>Cockerham Green Energy</t>
  </si>
  <si>
    <t>Hillam Lane Farm</t>
  </si>
  <si>
    <t>LA2 0DX</t>
  </si>
  <si>
    <t>Cattle slurry, poultry manure &amp; grass silage</t>
  </si>
  <si>
    <t>Hillam Lane Farm (phase 2)</t>
  </si>
  <si>
    <t>Hogsbrook Farm / Willowglen Renewables</t>
  </si>
  <si>
    <t>EX5 1PY</t>
  </si>
  <si>
    <t>FKB Farming</t>
  </si>
  <si>
    <t>Holdingham Bioenergy</t>
  </si>
  <si>
    <t>NG34 8NP</t>
  </si>
  <si>
    <t>Maize, sugar beet, grass silage &amp; poultry manure</t>
  </si>
  <si>
    <t>Egmere Energy AD</t>
  </si>
  <si>
    <t>Holkham Estate, Egmere, North Norfolk</t>
  </si>
  <si>
    <t>NR22 6BD</t>
  </si>
  <si>
    <t>Holme Bioenergy</t>
  </si>
  <si>
    <t>YO43 4AG</t>
  </si>
  <si>
    <t>Food waste soup</t>
  </si>
  <si>
    <t>Holsworthy Biogas Plant</t>
  </si>
  <si>
    <t>EX22 7HH</t>
  </si>
  <si>
    <t>Holton Renewable Energy</t>
  </si>
  <si>
    <t>IP19 8NJ</t>
  </si>
  <si>
    <t>Animal processing waste</t>
  </si>
  <si>
    <t>JE &amp; EME Ames</t>
  </si>
  <si>
    <t>Home Farm (Brunstead)</t>
  </si>
  <si>
    <t>NR12 9ES</t>
  </si>
  <si>
    <t>Pig slurry, poultry litter, maize silage &amp; grass silage</t>
  </si>
  <si>
    <t>Stretton Energy</t>
  </si>
  <si>
    <t>Home Farm (Leebotwood)</t>
  </si>
  <si>
    <t>SY6 6LX</t>
  </si>
  <si>
    <t>Poultry manure &amp; energy crops</t>
  </si>
  <si>
    <t>Home Farm (Scrivelsby)</t>
  </si>
  <si>
    <t>LN9 6JB</t>
  </si>
  <si>
    <t xml:space="preserve">Poultry litter, wholecrop rye, maize, grass silage &amp; cattle manure </t>
  </si>
  <si>
    <t>H&amp;Q Farming</t>
  </si>
  <si>
    <t>Homeleaze Farm</t>
  </si>
  <si>
    <t>GL7 5DF</t>
  </si>
  <si>
    <t>Animal slurry &amp; energy crops</t>
  </si>
  <si>
    <t>Limelight Energy Ltd</t>
  </si>
  <si>
    <t>Hope House Farm</t>
  </si>
  <si>
    <t>TS21 2HF</t>
  </si>
  <si>
    <t>Cattle manure &amp; grass silage</t>
  </si>
  <si>
    <t>Pickstock Telford</t>
  </si>
  <si>
    <t>Hortonwood Industrial Estate</t>
  </si>
  <si>
    <t>TF1 7FA</t>
  </si>
  <si>
    <t>Paunch, animal slurries &amp; abattoir wastes</t>
  </si>
  <si>
    <t>The Co-Operative/ENERG Ltd</t>
  </si>
  <si>
    <t>Houghton Lodge Farm</t>
  </si>
  <si>
    <t>LE7 9GB</t>
  </si>
  <si>
    <t>Maize, grass silage &amp; animal manure</t>
  </si>
  <si>
    <t>Scotia Gas Networks/DB Consulting and Rights</t>
  </si>
  <si>
    <t>Icknield Farm</t>
  </si>
  <si>
    <t>OX10 6AS</t>
  </si>
  <si>
    <t>Cereal crops, maize &amp; pig slurry</t>
  </si>
  <si>
    <t>AVG Imperial Limited</t>
  </si>
  <si>
    <t>Imperial Park</t>
  </si>
  <si>
    <t>TS6 6BA</t>
  </si>
  <si>
    <t>Maize, wheat chaff, slurry, food waste, garden waste, animal by-product &amp; glycerol</t>
  </si>
  <si>
    <t>RM Brown &amp; Son/Qila Energy</t>
  </si>
  <si>
    <t>Inchdairnie Farm</t>
  </si>
  <si>
    <t>KY5 0UL</t>
  </si>
  <si>
    <t>Maize, distillery draff &amp; rye</t>
  </si>
  <si>
    <t>Whyte &amp; Mackay</t>
  </si>
  <si>
    <t>Invergordon Distillery</t>
  </si>
  <si>
    <t>IV18 0HP</t>
  </si>
  <si>
    <t>Keithick Biogas</t>
  </si>
  <si>
    <t>Keithick Farm</t>
  </si>
  <si>
    <t>PH13 9NA</t>
  </si>
  <si>
    <t xml:space="preserve">Whole crop rye, maize, sugar beet off-cuts, raw silage &amp; poultry litter </t>
  </si>
  <si>
    <t>DS Smith / E.ON Energy</t>
  </si>
  <si>
    <t>Kemsley Paper Mill</t>
  </si>
  <si>
    <t>ME9 8SR</t>
  </si>
  <si>
    <t>Paper mill effluent</t>
  </si>
  <si>
    <t>Greenshoots Energy</t>
  </si>
  <si>
    <t>Kenninghall Renewable Energy Facility</t>
  </si>
  <si>
    <t>NR16 2DU</t>
  </si>
  <si>
    <t>Cattle slurry, poultry litter &amp; maize</t>
  </si>
  <si>
    <t>Thamesdown Recycling</t>
  </si>
  <si>
    <t>Kingshill Recycling Centre</t>
  </si>
  <si>
    <t>SN6 6JR</t>
  </si>
  <si>
    <t>Little WC &amp; Son</t>
  </si>
  <si>
    <t>Kirkbride House Farm</t>
  </si>
  <si>
    <t>CA7 5JR</t>
  </si>
  <si>
    <t>Laburnum House</t>
  </si>
  <si>
    <t>PE22 7AN</t>
  </si>
  <si>
    <t>Cattle manure, pig manure, sugar beet, grass silage, wholecrop rye, wheat straw, grain waste, chicken litter &amp; pea waste</t>
  </si>
  <si>
    <t>Lanes Farm Energy</t>
  </si>
  <si>
    <t>Lanes Farm AD</t>
  </si>
  <si>
    <t>WF7 7DX</t>
  </si>
  <si>
    <t>Farmyard manure, poultry manure, hybrid rye, energy beet, grass silage, straw, vegetable waste, liquid food waste</t>
  </si>
  <si>
    <t>Langage Farm</t>
  </si>
  <si>
    <t>PL7 5AY</t>
  </si>
  <si>
    <t>Food waste &amp; cattle manure</t>
  </si>
  <si>
    <t>Singleton Birch</t>
  </si>
  <si>
    <t>Laynes Piggery</t>
  </si>
  <si>
    <t>DN21 5SN</t>
  </si>
  <si>
    <t>Pig slurry, pig manure, maize &amp; energy beet</t>
  </si>
  <si>
    <t>HF &amp; NJ Williams &amp; Sons</t>
  </si>
  <si>
    <t>Lea Hall Farm</t>
  </si>
  <si>
    <t>SY5 8HY</t>
  </si>
  <si>
    <t>Maize, fodder beet &amp; poultry manure</t>
  </si>
  <si>
    <t>Leeming Biogas</t>
  </si>
  <si>
    <t>Leeming Bar AD</t>
  </si>
  <si>
    <t>DL7 9LY</t>
  </si>
  <si>
    <t>Potato waste, soya waste, creamery waste &amp; brewery waste</t>
  </si>
  <si>
    <t>Environment First Ltd</t>
  </si>
  <si>
    <t>Lested Farm</t>
  </si>
  <si>
    <t>ME17 3SA</t>
  </si>
  <si>
    <t>Farm yard manure, cattle slurry, poultry manure, fruit &amp; vegetable outgrades &amp; maize grain</t>
  </si>
  <si>
    <t>Levenseat</t>
  </si>
  <si>
    <t>Levenseat Recycling facility</t>
  </si>
  <si>
    <t>ML11 8EP</t>
  </si>
  <si>
    <t>Food waste (Municipal)</t>
  </si>
  <si>
    <t>G Wannop &amp; Son</t>
  </si>
  <si>
    <t>Linstock Castle Farm</t>
  </si>
  <si>
    <t>CA6 4PZ</t>
  </si>
  <si>
    <t>Maize silage &amp; cattle slurry</t>
  </si>
  <si>
    <t>Foyle Food Group</t>
  </si>
  <si>
    <t>Lisahally Port</t>
  </si>
  <si>
    <t>BT47 6TJ</t>
  </si>
  <si>
    <t>Green waste, animal processing wastes &amp; sewage sludge</t>
  </si>
  <si>
    <t>MFG Generation Ltd</t>
  </si>
  <si>
    <t>Little Pengethley Farm</t>
  </si>
  <si>
    <t>HR9 6LN</t>
  </si>
  <si>
    <t>Local Generation</t>
  </si>
  <si>
    <t>PE15 0BA</t>
  </si>
  <si>
    <t>Fife Council</t>
  </si>
  <si>
    <t>Lochhead Landfill (Dry-AD)</t>
  </si>
  <si>
    <t>KY12 0RX</t>
  </si>
  <si>
    <t>Lockerbie Biogas Ltd</t>
  </si>
  <si>
    <t>Lockerbie Creamery</t>
  </si>
  <si>
    <t>DG11 1LW</t>
  </si>
  <si>
    <t>Creamery whey &amp; wash waters</t>
  </si>
  <si>
    <t>FRE-Energy</t>
  </si>
  <si>
    <t>Lodge Farm</t>
  </si>
  <si>
    <t>LL13 9TE</t>
  </si>
  <si>
    <t>Cattle slurry &amp; poultry litter</t>
  </si>
  <si>
    <t>Saria</t>
  </si>
  <si>
    <t>London Sustainable Industries Park (ReFood)</t>
  </si>
  <si>
    <t>RM9 6RA</t>
  </si>
  <si>
    <t>Gloucestershire Farming &amp; Wildlife Advisory Group</t>
  </si>
  <si>
    <t>Longdon Marsh Biogas Project</t>
  </si>
  <si>
    <t>DONG Energy</t>
  </si>
  <si>
    <t>Lostock Works</t>
  </si>
  <si>
    <t>CW9 7ZR</t>
  </si>
  <si>
    <t>J Bramley &amp; Son</t>
  </si>
  <si>
    <t>Low Farm</t>
  </si>
  <si>
    <t>LS25 6AD</t>
  </si>
  <si>
    <t>Animal manure, maize silage, grass silage &amp; sugar beet</t>
  </si>
  <si>
    <t>Biogas Nord</t>
  </si>
  <si>
    <t>Lowbrook Farm Anaerobic Digester</t>
  </si>
  <si>
    <t>DT11 0EQ</t>
  </si>
  <si>
    <t xml:space="preserve">Cattle manure, poultry manure &amp; maize silage </t>
  </si>
  <si>
    <t>EOS Developments</t>
  </si>
  <si>
    <t>Lower Drayton Farm</t>
  </si>
  <si>
    <t>ST19 5RE</t>
  </si>
  <si>
    <t>Poultry manure, farmyard manure, straw and silage</t>
  </si>
  <si>
    <t>Agripost</t>
  </si>
  <si>
    <t>Lower House Farm</t>
  </si>
  <si>
    <t xml:space="preserve">SY5 9NQ </t>
  </si>
  <si>
    <t>Maize, slurry, food waste, potato waste, sludge, leachate &amp; poultry litter</t>
  </si>
  <si>
    <t>Lower Parks Farm</t>
  </si>
  <si>
    <t>LL12 0BN</t>
  </si>
  <si>
    <t>Cattle slurry, grass silage &amp; glycerol</t>
  </si>
  <si>
    <t>Manor Farm (Alderton)</t>
  </si>
  <si>
    <t>NN12 7LS</t>
  </si>
  <si>
    <t>Maize, rye &amp; wheat</t>
  </si>
  <si>
    <t>Manor Farm (Beal)</t>
  </si>
  <si>
    <t>DN14 0ST</t>
  </si>
  <si>
    <t xml:space="preserve">Cattle manure, pig manure, poultry litter, potatoes, maize, grass silage &amp; whole crop rye </t>
  </si>
  <si>
    <t>Manor Farm (Holbeach)</t>
  </si>
  <si>
    <t>PE12 8LR</t>
  </si>
  <si>
    <t>Outgrade vegetables &amp; energy crops</t>
  </si>
  <si>
    <t>Furrowland Energy</t>
  </si>
  <si>
    <t>Manor Farm (Newton-on-trent)</t>
  </si>
  <si>
    <t>LN1 2QU</t>
  </si>
  <si>
    <t>Mauri Products</t>
  </si>
  <si>
    <t>HU7 0XW</t>
  </si>
  <si>
    <t>Bakery waste</t>
  </si>
  <si>
    <t>OMNI Heat &amp; Power</t>
  </si>
  <si>
    <t>Mawley Town Farm</t>
  </si>
  <si>
    <t>DY14 8PJ</t>
  </si>
  <si>
    <t>Barway Farms Ltd</t>
  </si>
  <si>
    <t>May Farm</t>
  </si>
  <si>
    <t>CB7 4TF</t>
  </si>
  <si>
    <t>Maize silage &amp; vegetable outgrades</t>
  </si>
  <si>
    <t>McCain Foods</t>
  </si>
  <si>
    <t>McCain Foods AD</t>
  </si>
  <si>
    <t>PE7 2PG</t>
  </si>
  <si>
    <t>Waste starch</t>
  </si>
  <si>
    <t>Melbury Bioenergy</t>
  </si>
  <si>
    <t>Melbury Dairy AD</t>
  </si>
  <si>
    <t>DT2 0LU</t>
  </si>
  <si>
    <t>Animal slurry, maize &amp; grass silage</t>
  </si>
  <si>
    <t>Northern Crop Driers</t>
  </si>
  <si>
    <t>Melrose Farm</t>
  </si>
  <si>
    <t>YO42 4SS</t>
  </si>
  <si>
    <t>Maize &amp; pig slurry</t>
  </si>
  <si>
    <t>Nomansland Biogas</t>
  </si>
  <si>
    <t>Menchine Farm</t>
  </si>
  <si>
    <t>EX16 8NP</t>
  </si>
  <si>
    <t>Maize, farm yard manure, grass silage &amp; poultry litter</t>
  </si>
  <si>
    <t>A F Machinery Ltd</t>
  </si>
  <si>
    <t>Mere Farm</t>
  </si>
  <si>
    <t>IP24 1QZ</t>
  </si>
  <si>
    <t>Unspecified crops</t>
  </si>
  <si>
    <t>Warren Energy</t>
  </si>
  <si>
    <t>Methwold Farm</t>
  </si>
  <si>
    <t>IP26 4RJ</t>
  </si>
  <si>
    <t>Pig slurry, maize silage &amp; grass silage</t>
  </si>
  <si>
    <t>Mill Nurseries</t>
  </si>
  <si>
    <t>HU12 9RX</t>
  </si>
  <si>
    <t>Manures, energy crops, crop residues &amp; rotation crops</t>
  </si>
  <si>
    <t>Midlothian</t>
  </si>
  <si>
    <t>Millerhill AD</t>
  </si>
  <si>
    <t>EH21 8RY</t>
  </si>
  <si>
    <t>M&amp;M Power</t>
  </si>
  <si>
    <t xml:space="preserve">Milton Farm </t>
  </si>
  <si>
    <t>HR6 9LB</t>
  </si>
  <si>
    <t>Potatoes, maize, fodder beet &amp; poultry litter</t>
  </si>
  <si>
    <t>Milton Keynes Waste Recovery Park</t>
  </si>
  <si>
    <t>MK12 5QQ</t>
  </si>
  <si>
    <t>Much Fawley Farm</t>
  </si>
  <si>
    <t>HR1 4SP</t>
  </si>
  <si>
    <t>Slurry, poultry manure &amp; maize</t>
  </si>
  <si>
    <t>Murrow AD</t>
  </si>
  <si>
    <t>PE13 4HN</t>
  </si>
  <si>
    <t>Cattle manure &amp; vegetable outgrades</t>
  </si>
  <si>
    <t>Myrtle Grange Farm</t>
  </si>
  <si>
    <t>DN14 0RA</t>
  </si>
  <si>
    <t>Energy crops &amp; farm yard manures</t>
  </si>
  <si>
    <t>M Hall</t>
  </si>
  <si>
    <t>Narrow Water Castle</t>
  </si>
  <si>
    <t>BT34 3LE</t>
  </si>
  <si>
    <t>J Beaty &amp; Son</t>
  </si>
  <si>
    <t>Nevill Holt AD</t>
  </si>
  <si>
    <t>LE16 8EF</t>
  </si>
  <si>
    <t>Maize silage &amp; animal manures</t>
  </si>
  <si>
    <t>ME Furniss &amp; Son</t>
  </si>
  <si>
    <t>New House Farm</t>
  </si>
  <si>
    <t>TF10 8BN</t>
  </si>
  <si>
    <t>Energy crops, pig slurry &amp; poultry litter</t>
  </si>
  <si>
    <t>JFS New Mill Biogas</t>
  </si>
  <si>
    <t>New Mill Farm</t>
  </si>
  <si>
    <t xml:space="preserve">YO61 4NN </t>
  </si>
  <si>
    <t>Animal manure, grass silage &amp; maize silage</t>
  </si>
  <si>
    <t>Oaktech Environmental</t>
  </si>
  <si>
    <t>New Smithfield Market</t>
  </si>
  <si>
    <t>M11 2WW</t>
  </si>
  <si>
    <t>Nocton Fen Farm</t>
  </si>
  <si>
    <t>LN4 2AY</t>
  </si>
  <si>
    <t>Maize, grass silage &amp; sugarbeet pulp</t>
  </si>
  <si>
    <t>North London AD Facility</t>
  </si>
  <si>
    <t>AL4 0PG</t>
  </si>
  <si>
    <t>Rockscape Energy</t>
  </si>
  <si>
    <t>North Moor Farm</t>
  </si>
  <si>
    <t>DN17 4DA</t>
  </si>
  <si>
    <t>Energy crops &amp; animal slurry</t>
  </si>
  <si>
    <t>Northwest Biogas</t>
  </si>
  <si>
    <t>North West Biogas</t>
  </si>
  <si>
    <t>FY5 4QD</t>
  </si>
  <si>
    <t>Food waste &amp; abattoir waste</t>
  </si>
  <si>
    <t>Northwold Farm</t>
  </si>
  <si>
    <t>DN20 0NS</t>
  </si>
  <si>
    <t>Pig  slurry, maize &amp; energy beet</t>
  </si>
  <si>
    <t>Oak Grove Renewables</t>
  </si>
  <si>
    <t>Oak Grove AD</t>
  </si>
  <si>
    <t>NR10 5DF</t>
  </si>
  <si>
    <t>BioWayste</t>
  </si>
  <si>
    <t>Orchard House Foods</t>
  </si>
  <si>
    <t>NN17 4JL</t>
  </si>
  <si>
    <t>Fruit waste</t>
  </si>
  <si>
    <t>Herefordshire Biogas</t>
  </si>
  <si>
    <t>Oxhouse Farm</t>
  </si>
  <si>
    <t>HR6 9LA</t>
  </si>
  <si>
    <t>Energy crops &amp; poultry litter</t>
  </si>
  <si>
    <t>VJ Thomas &amp; Sons</t>
  </si>
  <si>
    <t>Pancross Farm</t>
  </si>
  <si>
    <t>CF62 3AJ</t>
  </si>
  <si>
    <t>Cattle slurry, waste cattle feed, maize silage &amp; grass silage</t>
  </si>
  <si>
    <t>Ludlow Bioenergy</t>
  </si>
  <si>
    <t>Park Lane</t>
  </si>
  <si>
    <t>SY8 4AJ</t>
  </si>
  <si>
    <t>Maize &amp; energy beet</t>
  </si>
  <si>
    <t>Parley Renewable Energy Park</t>
  </si>
  <si>
    <t>BH23 6BG</t>
  </si>
  <si>
    <t>Maize &amp; food waste</t>
  </si>
  <si>
    <t>PAS Grantham</t>
  </si>
  <si>
    <t>PAS Grantham AD</t>
  </si>
  <si>
    <t>NG33 5AY</t>
  </si>
  <si>
    <t>TD Forster &amp; Son</t>
  </si>
  <si>
    <t>Peacehill Farm</t>
  </si>
  <si>
    <t>DD6 8PJ</t>
  </si>
  <si>
    <t>Rye, grass silage, energy beet, pot ale syrup, potato outgrades, vegetable cuttings &amp; poultry manure</t>
  </si>
  <si>
    <t>Welland Waste Management</t>
  </si>
  <si>
    <t>Pebble Hall Farm</t>
  </si>
  <si>
    <t>LE17 6NJ</t>
  </si>
  <si>
    <t>Pengelly Farms</t>
  </si>
  <si>
    <t>Pengelly Barton AD</t>
  </si>
  <si>
    <t>TR13 9NG</t>
  </si>
  <si>
    <t>Poultry litter, potatoes, maize &amp; beet</t>
  </si>
  <si>
    <t>Penllan Farm</t>
  </si>
  <si>
    <t>HR2 0SU</t>
  </si>
  <si>
    <t>Pennans Farm</t>
  </si>
  <si>
    <t>TR2 4RQ</t>
  </si>
  <si>
    <t>Slurries &amp; energy crops</t>
  </si>
  <si>
    <t>Brocklesby Energy Company Limited</t>
  </si>
  <si>
    <t>Pimlico Farm</t>
  </si>
  <si>
    <t>DN37 8LL</t>
  </si>
  <si>
    <t>Maize &amp; grass</t>
  </si>
  <si>
    <t>Pinguin Foods</t>
  </si>
  <si>
    <t>PE30 4LR</t>
  </si>
  <si>
    <t>Food waste &amp; cereal crops</t>
  </si>
  <si>
    <t>Pipers Farm AD</t>
  </si>
  <si>
    <t>TN18 4RW</t>
  </si>
  <si>
    <t>Cattle manure, poultry litter, vegetable waste, maize silage, grass silage, wholecrop rye &amp; wheat straw</t>
  </si>
  <si>
    <t>Singleton Birch Ltd</t>
  </si>
  <si>
    <t>Plaxton Bridge AD</t>
  </si>
  <si>
    <t>HU17 0RT</t>
  </si>
  <si>
    <t>Potato processing waste &amp; glycerol</t>
  </si>
  <si>
    <t>Poplars Landfill AD</t>
  </si>
  <si>
    <t>WS11 8NQ</t>
  </si>
  <si>
    <t>Portgordon Maltings Beyside</t>
  </si>
  <si>
    <t>AB56 5BU</t>
  </si>
  <si>
    <t>Draff and Pot Ale</t>
  </si>
  <si>
    <t>Pure Malt Products</t>
  </si>
  <si>
    <t>EH41 4BD</t>
  </si>
  <si>
    <t>Food production residues &amp; brewery waste</t>
  </si>
  <si>
    <t>R100 Energy AD</t>
  </si>
  <si>
    <t>DN14 7NG</t>
  </si>
  <si>
    <t>Food Waste</t>
  </si>
  <si>
    <t>Railway Farm AD</t>
  </si>
  <si>
    <t>Rainbarrow Farm</t>
  </si>
  <si>
    <t>DT2 9JF</t>
  </si>
  <si>
    <t>Maize, rye, grass, potatoe &amp; food waste</t>
  </si>
  <si>
    <t>Thanet Waste Services</t>
  </si>
  <si>
    <t>Ramsgate Road AD</t>
  </si>
  <si>
    <t>CT13 9ST</t>
  </si>
  <si>
    <t>Rattys Lane Sustainable Energy Facility</t>
  </si>
  <si>
    <t>EN11 0RF</t>
  </si>
  <si>
    <t>Red Linhay AD Plant</t>
  </si>
  <si>
    <t>EX16 7AY</t>
  </si>
  <si>
    <t>Redstow Renewables</t>
  </si>
  <si>
    <t>PE37 7QA</t>
  </si>
  <si>
    <t>ReFood Widnes</t>
  </si>
  <si>
    <t>WA8 0PB</t>
  </si>
  <si>
    <t>CRS Bio Ltd</t>
  </si>
  <si>
    <t>Reydon AD</t>
  </si>
  <si>
    <t>IP18 6SG</t>
  </si>
  <si>
    <t>Ridge Road Energy Ltd</t>
  </si>
  <si>
    <t>Ridge Road Farm</t>
  </si>
  <si>
    <t>LS25 3DL</t>
  </si>
  <si>
    <t>Hybrid rye &amp; sugar beet</t>
  </si>
  <si>
    <t>Riverside Bio/Bio Collectors</t>
  </si>
  <si>
    <t>Riverside AD</t>
  </si>
  <si>
    <t>CR4 4NA</t>
  </si>
  <si>
    <t>Evergreen Natural Energy</t>
  </si>
  <si>
    <t>Riverview Farms</t>
  </si>
  <si>
    <t>BT78 4LA</t>
  </si>
  <si>
    <t>InSource Energy</t>
  </si>
  <si>
    <t>Rogerstone Park</t>
  </si>
  <si>
    <t>NP10 9SA</t>
  </si>
  <si>
    <t>Food waste &amp; potato processing wastes</t>
  </si>
  <si>
    <t>Rose Hill Recycling</t>
  </si>
  <si>
    <t>GL18 2EF</t>
  </si>
  <si>
    <t>Food waste, animal processing waste &amp; energy crops</t>
  </si>
  <si>
    <t>Roseisle Speyside Whisky Distillery</t>
  </si>
  <si>
    <t>IV30 5YP</t>
  </si>
  <si>
    <t>Springhill Farms</t>
  </si>
  <si>
    <t>Rotherdale Farm</t>
  </si>
  <si>
    <t>WR10 2LA</t>
  </si>
  <si>
    <t>Energy crop, cattle manure &amp; poultry manure</t>
  </si>
  <si>
    <t>Berrys</t>
  </si>
  <si>
    <t>Rushywood Farm / Green Puffin Ltd</t>
  </si>
  <si>
    <t>TA18 7PH</t>
  </si>
  <si>
    <t>Cattle slurry, farm yard manure &amp; waste feed</t>
  </si>
  <si>
    <t>GWE Biogas</t>
  </si>
  <si>
    <t>Sandhill AD</t>
  </si>
  <si>
    <t>YO25 9DR</t>
  </si>
  <si>
    <t>North East Scot+Y727+F678:F983</t>
  </si>
  <si>
    <t>Savock Farms AD</t>
  </si>
  <si>
    <t>AB41 6AL</t>
  </si>
  <si>
    <t>Grass silage, rye, beet, straw &amp; manure</t>
  </si>
  <si>
    <t>Barfoots Energy</t>
  </si>
  <si>
    <t>Sefter Farm</t>
  </si>
  <si>
    <t>PO21 3PX</t>
  </si>
  <si>
    <t>Sweetcorn husks &amp; cattle slurry</t>
  </si>
  <si>
    <t>Molson Coors</t>
  </si>
  <si>
    <t>Sharps Brewery</t>
  </si>
  <si>
    <t>PL27 6NU</t>
  </si>
  <si>
    <t>Pegasus Group</t>
  </si>
  <si>
    <t>Sheffield Sustainable Industries Park</t>
  </si>
  <si>
    <t>S6 1QT</t>
  </si>
  <si>
    <t>Sheppey Energy Ltd</t>
  </si>
  <si>
    <t>ME12 3SU</t>
  </si>
  <si>
    <t>Straw, rye &amp; fruit &amp; vegetable outgrades</t>
  </si>
  <si>
    <t>DN38 6AE</t>
  </si>
  <si>
    <t>Maize, sugarbeet &amp; pig slurry</t>
  </si>
  <si>
    <t>Aberdeenshire</t>
  </si>
  <si>
    <t>Brewdog PLC</t>
  </si>
  <si>
    <t>Site 8 Brewdog</t>
  </si>
  <si>
    <t>AB41 8BX</t>
  </si>
  <si>
    <t>Waste from brewery</t>
  </si>
  <si>
    <t>Smeathalls Farm</t>
  </si>
  <si>
    <t>WF11 9LZ</t>
  </si>
  <si>
    <t>Maize silage, grass silage &amp; poultry manure</t>
  </si>
  <si>
    <t>Kemble Farms</t>
  </si>
  <si>
    <t>Smerrill Generating Plant</t>
  </si>
  <si>
    <t>GL7 6BD</t>
  </si>
  <si>
    <t>Cattle slurry, maize silage &amp; grass silage</t>
  </si>
  <si>
    <t>West Midlands</t>
  </si>
  <si>
    <t>Smurfit Kappa UK Ltd</t>
  </si>
  <si>
    <t>Smurfit Kappa SSK AD</t>
  </si>
  <si>
    <t>B7 5RE</t>
  </si>
  <si>
    <t>Smurfit Kappa Townsend Hook AD</t>
  </si>
  <si>
    <t>ME6 5AX</t>
  </si>
  <si>
    <t>E Burrough</t>
  </si>
  <si>
    <t>Snowdon Hill Farm</t>
  </si>
  <si>
    <t>TA20 3PS</t>
  </si>
  <si>
    <t xml:space="preserve">Cattle, maize &amp; grass silage </t>
  </si>
  <si>
    <t>South Kirkby Business Park</t>
  </si>
  <si>
    <t>WF9 4DG</t>
  </si>
  <si>
    <t>South Manchester Resource Recovery Centre</t>
  </si>
  <si>
    <t>M22 4RQ</t>
  </si>
  <si>
    <t>South Wales AD Facility</t>
  </si>
  <si>
    <t>CF33 4RS</t>
  </si>
  <si>
    <t>AGTEC/Milbury Systems</t>
  </si>
  <si>
    <t>Spalford AD</t>
  </si>
  <si>
    <t>NG23</t>
  </si>
  <si>
    <t>Spittles Farm</t>
  </si>
  <si>
    <t>BA22 8AU</t>
  </si>
  <si>
    <t>Springhill Nurseries</t>
  </si>
  <si>
    <t>Springhill Farm</t>
  </si>
  <si>
    <t>WR10 2PE</t>
  </si>
  <si>
    <t>Energy crops &amp; vegetable outgrades</t>
  </si>
  <si>
    <t>Springvale Energies</t>
  </si>
  <si>
    <t>Springvale Farm</t>
  </si>
  <si>
    <t>NG22 0PS</t>
  </si>
  <si>
    <t>Energy beet, grass silage &amp; maize silage</t>
  </si>
  <si>
    <t>Eco Verde Energy / Privilege Finance / Attleborough Eco Electric</t>
  </si>
  <si>
    <t>SS Agri AD Power Facility / Attleborough AD Plant</t>
  </si>
  <si>
    <t>NR17 1AE</t>
  </si>
  <si>
    <t>Energy crops, animal slurry &amp; food waste</t>
  </si>
  <si>
    <t>Jones Brothers</t>
  </si>
  <si>
    <t>St Merryn Meat AD</t>
  </si>
  <si>
    <t>CF48 2TA</t>
  </si>
  <si>
    <t>Maize &amp; abbatoir waste</t>
  </si>
  <si>
    <t>St Nicholas Court Farm</t>
  </si>
  <si>
    <t>CT7 0NJ</t>
  </si>
  <si>
    <t>Maize silage, grass silage, rye grass, sugar beet &amp; outgrade fruit &amp; vegetables</t>
  </si>
  <si>
    <t>Stafford AD</t>
  </si>
  <si>
    <t>NR10 4DU</t>
  </si>
  <si>
    <t xml:space="preserve">Mazie, grass silage &amp; sugar beet </t>
  </si>
  <si>
    <t>JG Shanks &amp; Son</t>
  </si>
  <si>
    <t>Standhill Farm</t>
  </si>
  <si>
    <t>TD9 8SF</t>
  </si>
  <si>
    <t>Cattle slurry &amp; crop silage</t>
  </si>
  <si>
    <t>Farm Generation Ltd/Fylde Fresh &amp; Fabulous</t>
  </si>
  <si>
    <t>Stanley Villa Farm</t>
  </si>
  <si>
    <t>PR4 3HS</t>
  </si>
  <si>
    <t>Grass silage, potato peelings &amp; animal slurry</t>
  </si>
  <si>
    <t>Northwick Biogas</t>
  </si>
  <si>
    <t>Stanley's Quarry</t>
  </si>
  <si>
    <t>GL55 6UR</t>
  </si>
  <si>
    <t>Animal manures, food waste &amp; organic fraction of MSW</t>
  </si>
  <si>
    <t>Staples Vegetables</t>
  </si>
  <si>
    <t>PE22 9HE</t>
  </si>
  <si>
    <t>Vegetable outgrades &amp; maize silage</t>
  </si>
  <si>
    <t>Staples Brothers Ltd</t>
  </si>
  <si>
    <t>Station Farm</t>
  </si>
  <si>
    <t xml:space="preserve">PE22 0SE </t>
  </si>
  <si>
    <t>Vegetable outgrades &amp; maize</t>
  </si>
  <si>
    <t>Hallwick Energy / BioWatt</t>
  </si>
  <si>
    <t>Station Works</t>
  </si>
  <si>
    <t>CM6 2NG</t>
  </si>
  <si>
    <t>Heaths of Stockton</t>
  </si>
  <si>
    <t>Stockton Grange</t>
  </si>
  <si>
    <t>TF10 9BA</t>
  </si>
  <si>
    <t>Animal manure &amp; slurries</t>
  </si>
  <si>
    <t>Stoke Bardolph Crop AD Facility</t>
  </si>
  <si>
    <t>NG14 5HJ</t>
  </si>
  <si>
    <t>AJ Butler &amp; Sons</t>
  </si>
  <si>
    <t>Stokes Marsh Farm</t>
  </si>
  <si>
    <t>BA13 4NZ</t>
  </si>
  <si>
    <t>Stragglethorpe Grainstore</t>
  </si>
  <si>
    <t>NG12 2JU</t>
  </si>
  <si>
    <t>Maize, wholecrop cereal &amp; beet</t>
  </si>
  <si>
    <t>Marston St. Lawrence Estate</t>
  </si>
  <si>
    <t>Stuchbury Manor Farm</t>
  </si>
  <si>
    <t>OX17 2DQ</t>
  </si>
  <si>
    <t>Animal slurries, maize &amp; grass silage</t>
  </si>
  <si>
    <t>Rainworth Energy</t>
  </si>
  <si>
    <t>Stud Farm</t>
  </si>
  <si>
    <t>NG22 9HB</t>
  </si>
  <si>
    <t>Maize silage, vegetable outgrades &amp; poultry manure</t>
  </si>
  <si>
    <t>Agrigen</t>
  </si>
  <si>
    <t>Suffolk Produce</t>
  </si>
  <si>
    <t>IP12 2TW</t>
  </si>
  <si>
    <t>Energy crops, sugar beet pulp, poultry manure, brewers grains &amp; vegetable outgrades</t>
  </si>
  <si>
    <t>Summer Farm</t>
  </si>
  <si>
    <t>NN6 7SQ</t>
  </si>
  <si>
    <t>Sustainable Energy Generation (SEG)</t>
  </si>
  <si>
    <t>TA13 5DJ</t>
  </si>
  <si>
    <t>Poultry manure, dairy waste, farmyard manure, potato waste &amp; energy crops</t>
  </si>
  <si>
    <t>Waste Recycling Group</t>
  </si>
  <si>
    <t>Sutton Courtenay AD</t>
  </si>
  <si>
    <t>OX14 4PW</t>
  </si>
  <si>
    <t>Fred Walter &amp; Son/Biogen</t>
  </si>
  <si>
    <t>Sutton Grange AD</t>
  </si>
  <si>
    <t>DN22 8SB</t>
  </si>
  <si>
    <t>Pig slurry, maize &amp; vegetable outgrades</t>
  </si>
  <si>
    <t>Swancote Energy</t>
  </si>
  <si>
    <t>Swancote Farm</t>
  </si>
  <si>
    <t>WV15 5HB</t>
  </si>
  <si>
    <t>Symonds Farm Power Ltd</t>
  </si>
  <si>
    <t>IP28 6RE</t>
  </si>
  <si>
    <t>Maize, pig slurry &amp; vegetable outgrades</t>
  </si>
  <si>
    <t>Tambowie Biogas</t>
  </si>
  <si>
    <t>Tambowie Farm</t>
  </si>
  <si>
    <t>G62 7HN</t>
  </si>
  <si>
    <t>Energy crops, pot ale syrup &amp; distillery draff</t>
  </si>
  <si>
    <t>Aberdeen City Council</t>
  </si>
  <si>
    <t>TECA AD</t>
  </si>
  <si>
    <t>AB21 9TF</t>
  </si>
  <si>
    <t xml:space="preserve">Liquid food waste, municipal grass cutting, grass silage, energy beet, hybrid rye silage, wholecrop silages, distillers draff, pot ale syrup, ferric chloride </t>
  </si>
  <si>
    <t>BF Biogas</t>
  </si>
  <si>
    <t>Teeside Green Energy Plant</t>
  </si>
  <si>
    <t>TS6 6AF</t>
  </si>
  <si>
    <t>Green waste, animal slurry &amp; food waste</t>
  </si>
  <si>
    <t>H&amp;H Land &amp; Property</t>
  </si>
  <si>
    <t>Tempest Tower Farm</t>
  </si>
  <si>
    <t>CA5 6EP</t>
  </si>
  <si>
    <t>Cattle slurry &amp; grass silage</t>
  </si>
  <si>
    <t>Shed Field Growers</t>
  </si>
  <si>
    <t>The Leen AD</t>
  </si>
  <si>
    <t>HR6 9HN</t>
  </si>
  <si>
    <t>Slurry, maize, energy beet &amp; poultry litter</t>
  </si>
  <si>
    <t>The Produce Connection</t>
  </si>
  <si>
    <t>CB25 9PZ</t>
  </si>
  <si>
    <t>Grass &amp; maize silage</t>
  </si>
  <si>
    <t>Thornfield Energy</t>
  </si>
  <si>
    <t>TF6 6QX</t>
  </si>
  <si>
    <t>Cattle manure &amp; energy crops</t>
  </si>
  <si>
    <t>Global Renewables Lancashire Ltd / Blackpool Council</t>
  </si>
  <si>
    <t>Thornton Waste Technology Park</t>
  </si>
  <si>
    <t>FY7 8RY</t>
  </si>
  <si>
    <t>Greenheath Farming</t>
  </si>
  <si>
    <t>Toggam Farm</t>
  </si>
  <si>
    <t>IP27 9LN</t>
  </si>
  <si>
    <t>Sugar beet pulp</t>
  </si>
  <si>
    <t>Tomorrow's Valley</t>
  </si>
  <si>
    <t>CF44 0BX</t>
  </si>
  <si>
    <t>Tornagrain AD</t>
  </si>
  <si>
    <t>IV2 7JQ</t>
  </si>
  <si>
    <t>Rye, grass silage, energy beet &amp; other energy crops</t>
  </si>
  <si>
    <t>M Quinn</t>
  </si>
  <si>
    <t>Tregeen Farm AD</t>
  </si>
  <si>
    <t>PL32 9SN</t>
  </si>
  <si>
    <t>Unspecified</t>
  </si>
  <si>
    <t>Trinity Hall Farm</t>
  </si>
  <si>
    <t>LU7 9PY</t>
  </si>
  <si>
    <t>Twinwoods</t>
  </si>
  <si>
    <t>MK44 1RL</t>
  </si>
  <si>
    <t>Vulcan Renewables</t>
  </si>
  <si>
    <t>Vulcan Way Biomass Renewable Energy Facility</t>
  </si>
  <si>
    <t>DN7 6EE</t>
  </si>
  <si>
    <t>Waen Biogas</t>
  </si>
  <si>
    <t>LL17 0DS</t>
  </si>
  <si>
    <t>Wallingford AD</t>
  </si>
  <si>
    <t>Walpole Landfill AD</t>
  </si>
  <si>
    <t>TA6 4TF</t>
  </si>
  <si>
    <t>Wanlip</t>
  </si>
  <si>
    <t>LE7 4PF</t>
  </si>
  <si>
    <t>Tyne &amp; Wear</t>
  </si>
  <si>
    <t>Wardley Biogas Limited</t>
  </si>
  <si>
    <t>Wardley AD</t>
  </si>
  <si>
    <t>NE10 8YJ</t>
  </si>
  <si>
    <t>Emerald Biogas</t>
  </si>
  <si>
    <t>Warrens Emerald Biogas</t>
  </si>
  <si>
    <t>DL5 6AB</t>
  </si>
  <si>
    <t>J Gatehouse &amp; Son</t>
  </si>
  <si>
    <t>Warthill Farm</t>
  </si>
  <si>
    <t>SY8 3HL</t>
  </si>
  <si>
    <t>Washfold Farm</t>
  </si>
  <si>
    <t>DL8 5JZ</t>
  </si>
  <si>
    <t>Animal manure</t>
  </si>
  <si>
    <t>West Birmingham AD Facility (Roundhill)</t>
  </si>
  <si>
    <t>DY7 6PX</t>
  </si>
  <si>
    <t>West London AD</t>
  </si>
  <si>
    <t>KT16 0EF</t>
  </si>
  <si>
    <t>J Cunnigham-Jardine</t>
  </si>
  <si>
    <t>West Roucan Farm</t>
  </si>
  <si>
    <t>DG1 3QG</t>
  </si>
  <si>
    <t>Westcott Park</t>
  </si>
  <si>
    <t>HP18 0XB</t>
  </si>
  <si>
    <t>Wester Alves Biogas</t>
  </si>
  <si>
    <t>Wester Alves Farm</t>
  </si>
  <si>
    <t>IV30 8XD</t>
  </si>
  <si>
    <t>Wester Kerrowgair Farm</t>
  </si>
  <si>
    <t>IV2 7JE</t>
  </si>
  <si>
    <t>Cattle manure, grass silage, wholecrop rye, energy beet, wheat straw &amp; vegetable waste</t>
  </si>
  <si>
    <t>Westholme Farm</t>
  </si>
  <si>
    <t>YO7 3BP</t>
  </si>
  <si>
    <t>Pig manure &amp; grass silage</t>
  </si>
  <si>
    <t>AB Produce</t>
  </si>
  <si>
    <t>Westminster Industrial Estate</t>
  </si>
  <si>
    <t>DE12 7DT</t>
  </si>
  <si>
    <t>Potato peelings</t>
  </si>
  <si>
    <t>Weston-super-Mare</t>
  </si>
  <si>
    <t>BS22 8NA</t>
  </si>
  <si>
    <t>Westwood AD</t>
  </si>
  <si>
    <t>NN10 0SQ</t>
  </si>
  <si>
    <t>Wyke Farms Limited</t>
  </si>
  <si>
    <t>White House Farm</t>
  </si>
  <si>
    <t>BA10 0PU</t>
  </si>
  <si>
    <t>Pig slurry cattle slurry &amp; forage crops</t>
  </si>
  <si>
    <t>Wight Farm Energy</t>
  </si>
  <si>
    <t>Wight Farm</t>
  </si>
  <si>
    <t>PO30 3FD</t>
  </si>
  <si>
    <t>R Gough &amp; Son</t>
  </si>
  <si>
    <t>Wigley Farm</t>
  </si>
  <si>
    <t>SY8 3DR</t>
  </si>
  <si>
    <t>Maize silage, poultry litter &amp; animal manure</t>
  </si>
  <si>
    <t>Wigley Farm (phase 2)</t>
  </si>
  <si>
    <t>PlanET Biogas</t>
  </si>
  <si>
    <t>Wilcross Farm</t>
  </si>
  <si>
    <t>BB7 4HP</t>
  </si>
  <si>
    <t>Grass silage, wholecrop silage &amp; cattle slurry</t>
  </si>
  <si>
    <t>H2Energy/ 2 Sisters Food Group</t>
  </si>
  <si>
    <t>Willand AD</t>
  </si>
  <si>
    <t>EX15 2PJ</t>
  </si>
  <si>
    <t>Poultry abbatoir waste, grass silage, sugar beet &amp; maize</t>
  </si>
  <si>
    <t>New Earth Solutions</t>
  </si>
  <si>
    <t>Willow Farm (Avonmouth)</t>
  </si>
  <si>
    <t>Cory Environmental</t>
  </si>
  <si>
    <t>Wingmoor Quarry (West)</t>
  </si>
  <si>
    <t>BK Hinwood &amp; Son</t>
  </si>
  <si>
    <t>Withypool Farm</t>
  </si>
  <si>
    <t>DY14 0DB</t>
  </si>
  <si>
    <t>Farm yard manure, slurry, wholecrop rye, energy beet &amp; maize</t>
  </si>
  <si>
    <t>Merrivale Farms</t>
  </si>
  <si>
    <t>Works Farm</t>
  </si>
  <si>
    <t>NG13 9JN</t>
  </si>
  <si>
    <t>Maize, wholecrop cereal &amp; animal manure</t>
  </si>
  <si>
    <t>Bramham Park Estates</t>
  </si>
  <si>
    <t>Wothersome Grange</t>
  </si>
  <si>
    <t>LS23 6LY</t>
  </si>
  <si>
    <t>Wray House Biogas</t>
  </si>
  <si>
    <t>Wray House Farm</t>
  </si>
  <si>
    <t>YO17 6UJ</t>
  </si>
  <si>
    <t>Energy crops, potato waste &amp; animal slurries</t>
  </si>
  <si>
    <t>Wyke Farms</t>
  </si>
  <si>
    <t>Wyke Farms Biogas</t>
  </si>
  <si>
    <t>BA4 6NX</t>
  </si>
  <si>
    <t>Animal slurry &amp; cheese processing waste</t>
  </si>
  <si>
    <t>WH Gittins &amp; Sons</t>
  </si>
  <si>
    <t>Wykey Farm</t>
  </si>
  <si>
    <t>SY4 1JA</t>
  </si>
  <si>
    <t>Energy crops, animal slurries &amp; potato outgrades</t>
  </si>
  <si>
    <t>Available Quantity (tonnes/year)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</si>
</sst>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7D353B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5B9-CAE3-4F23-AEBA-0E7BC8CE8787}">
  <dimension ref="A1:W373"/>
  <sheetViews>
    <sheetView tabSelected="1" zoomScale="55" zoomScaleNormal="55" workbookViewId="0">
      <selection activeCell="Y12" sqref="Y12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1353</v>
      </c>
    </row>
    <row r="2" spans="1:23" x14ac:dyDescent="0.35">
      <c r="A2" t="s">
        <v>22</v>
      </c>
      <c r="B2" t="s">
        <v>23</v>
      </c>
      <c r="C2" t="s">
        <v>24</v>
      </c>
      <c r="D2" t="s">
        <v>24</v>
      </c>
      <c r="E2" t="s">
        <v>25</v>
      </c>
      <c r="F2">
        <v>451</v>
      </c>
      <c r="G2">
        <v>0</v>
      </c>
      <c r="H2" t="s">
        <v>26</v>
      </c>
      <c r="I2" t="s">
        <v>27</v>
      </c>
      <c r="J2">
        <v>2012</v>
      </c>
      <c r="K2" t="s">
        <v>28</v>
      </c>
      <c r="L2" t="s">
        <v>29</v>
      </c>
      <c r="M2">
        <v>40000</v>
      </c>
      <c r="N2">
        <v>28000</v>
      </c>
      <c r="O2">
        <v>12000</v>
      </c>
      <c r="P2">
        <v>0</v>
      </c>
      <c r="Q2">
        <v>0</v>
      </c>
      <c r="R2">
        <v>0</v>
      </c>
      <c r="S2">
        <v>52.836399999999998</v>
      </c>
      <c r="T2">
        <v>-2.9309500000000002</v>
      </c>
      <c r="U2">
        <v>45</v>
      </c>
      <c r="V2">
        <v>0.9</v>
      </c>
      <c r="W2">
        <f>M2</f>
        <v>40000</v>
      </c>
    </row>
    <row r="3" spans="1:23" x14ac:dyDescent="0.35">
      <c r="A3" t="s">
        <v>30</v>
      </c>
      <c r="B3" t="s">
        <v>31</v>
      </c>
      <c r="C3" t="s">
        <v>32</v>
      </c>
      <c r="D3" t="s">
        <v>32</v>
      </c>
      <c r="E3" t="s">
        <v>33</v>
      </c>
      <c r="F3">
        <v>100</v>
      </c>
      <c r="G3">
        <v>33</v>
      </c>
      <c r="H3" t="s">
        <v>34</v>
      </c>
      <c r="I3" t="s">
        <v>27</v>
      </c>
      <c r="J3">
        <v>2014</v>
      </c>
      <c r="K3" t="s">
        <v>35</v>
      </c>
      <c r="L3" t="s">
        <v>36</v>
      </c>
      <c r="M3">
        <v>25000</v>
      </c>
      <c r="N3">
        <v>0</v>
      </c>
      <c r="O3">
        <v>0</v>
      </c>
      <c r="P3">
        <v>20000</v>
      </c>
      <c r="Q3">
        <v>0</v>
      </c>
      <c r="R3">
        <v>5000</v>
      </c>
      <c r="S3">
        <v>52.327500800000003</v>
      </c>
      <c r="T3">
        <v>1.6797255</v>
      </c>
      <c r="U3">
        <v>45</v>
      </c>
      <c r="V3">
        <v>0.9</v>
      </c>
      <c r="W3">
        <f t="shared" ref="W3:W66" si="0">M3</f>
        <v>25000</v>
      </c>
    </row>
    <row r="4" spans="1:23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>
        <v>1200</v>
      </c>
      <c r="G4">
        <v>0</v>
      </c>
      <c r="H4" t="s">
        <v>26</v>
      </c>
      <c r="I4" t="s">
        <v>27</v>
      </c>
      <c r="J4">
        <v>2018</v>
      </c>
      <c r="K4" t="s">
        <v>28</v>
      </c>
      <c r="L4" t="s">
        <v>42</v>
      </c>
      <c r="M4">
        <v>26550</v>
      </c>
      <c r="N4">
        <v>22550</v>
      </c>
      <c r="O4">
        <v>0</v>
      </c>
      <c r="P4">
        <v>0</v>
      </c>
      <c r="Q4">
        <v>0</v>
      </c>
      <c r="R4">
        <v>4000</v>
      </c>
      <c r="S4">
        <v>54.626282400000001</v>
      </c>
      <c r="T4">
        <v>-5.8736652500000002</v>
      </c>
      <c r="U4">
        <v>45</v>
      </c>
      <c r="V4">
        <v>0.9</v>
      </c>
      <c r="W4">
        <f t="shared" si="0"/>
        <v>26550</v>
      </c>
    </row>
    <row r="5" spans="1:23" x14ac:dyDescent="0.35">
      <c r="A5" t="s">
        <v>30</v>
      </c>
      <c r="B5" t="s">
        <v>43</v>
      </c>
      <c r="C5" t="s">
        <v>44</v>
      </c>
      <c r="D5" t="s">
        <v>44</v>
      </c>
      <c r="E5" t="s">
        <v>45</v>
      </c>
      <c r="F5">
        <v>1300</v>
      </c>
      <c r="G5">
        <v>0</v>
      </c>
      <c r="H5" t="s">
        <v>26</v>
      </c>
      <c r="I5" t="s">
        <v>27</v>
      </c>
      <c r="J5" t="s">
        <v>46</v>
      </c>
      <c r="K5" t="s">
        <v>28</v>
      </c>
      <c r="L5" t="s">
        <v>47</v>
      </c>
      <c r="M5">
        <v>36500</v>
      </c>
      <c r="N5">
        <v>0</v>
      </c>
      <c r="O5">
        <v>0</v>
      </c>
      <c r="P5">
        <v>0</v>
      </c>
      <c r="Q5">
        <v>36500</v>
      </c>
      <c r="R5">
        <v>0</v>
      </c>
      <c r="S5">
        <v>52.450749999999999</v>
      </c>
      <c r="T5">
        <v>3.2739299999999999E-2</v>
      </c>
      <c r="U5">
        <v>45</v>
      </c>
      <c r="V5">
        <v>0.9</v>
      </c>
      <c r="W5">
        <f t="shared" si="0"/>
        <v>36500</v>
      </c>
    </row>
    <row r="6" spans="1:23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>
        <v>1100</v>
      </c>
      <c r="G6">
        <v>0</v>
      </c>
      <c r="H6" t="s">
        <v>26</v>
      </c>
      <c r="I6" t="s">
        <v>27</v>
      </c>
      <c r="J6">
        <v>2016</v>
      </c>
      <c r="K6" t="s">
        <v>35</v>
      </c>
      <c r="L6" t="s">
        <v>53</v>
      </c>
      <c r="M6">
        <v>40000</v>
      </c>
      <c r="N6">
        <v>0</v>
      </c>
      <c r="O6">
        <v>0</v>
      </c>
      <c r="P6">
        <v>24000</v>
      </c>
      <c r="Q6">
        <v>0</v>
      </c>
      <c r="R6">
        <v>16000</v>
      </c>
      <c r="S6">
        <v>54.033070000000002</v>
      </c>
      <c r="T6">
        <v>-1.3732800000000001</v>
      </c>
      <c r="U6">
        <v>45</v>
      </c>
      <c r="V6">
        <v>0.9</v>
      </c>
      <c r="W6">
        <f t="shared" si="0"/>
        <v>40000</v>
      </c>
    </row>
    <row r="7" spans="1:23" x14ac:dyDescent="0.35">
      <c r="A7" t="s">
        <v>48</v>
      </c>
      <c r="B7" t="s">
        <v>49</v>
      </c>
      <c r="C7" t="s">
        <v>54</v>
      </c>
      <c r="D7" t="s">
        <v>55</v>
      </c>
      <c r="E7" t="s">
        <v>56</v>
      </c>
      <c r="F7">
        <v>2400</v>
      </c>
      <c r="G7">
        <v>550</v>
      </c>
      <c r="H7" t="s">
        <v>34</v>
      </c>
      <c r="I7" t="s">
        <v>27</v>
      </c>
      <c r="J7">
        <v>2016</v>
      </c>
      <c r="K7" t="s">
        <v>35</v>
      </c>
      <c r="L7" t="s">
        <v>57</v>
      </c>
      <c r="M7">
        <v>82500</v>
      </c>
      <c r="N7">
        <v>0</v>
      </c>
      <c r="O7">
        <v>0</v>
      </c>
      <c r="P7">
        <v>50000</v>
      </c>
      <c r="Q7">
        <v>0</v>
      </c>
      <c r="R7">
        <v>32500</v>
      </c>
      <c r="S7">
        <v>53.774900000000002</v>
      </c>
      <c r="T7">
        <v>-1.2340899999999999</v>
      </c>
      <c r="U7">
        <v>45</v>
      </c>
      <c r="V7">
        <v>0.9</v>
      </c>
      <c r="W7">
        <f t="shared" si="0"/>
        <v>82500</v>
      </c>
    </row>
    <row r="8" spans="1:23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>
        <v>1600</v>
      </c>
      <c r="G8">
        <v>0</v>
      </c>
      <c r="H8" t="s">
        <v>26</v>
      </c>
      <c r="I8" t="s">
        <v>27</v>
      </c>
      <c r="J8" t="s">
        <v>46</v>
      </c>
      <c r="K8" t="s">
        <v>35</v>
      </c>
      <c r="L8" t="s">
        <v>63</v>
      </c>
      <c r="M8">
        <v>32000</v>
      </c>
      <c r="N8">
        <v>2000</v>
      </c>
      <c r="O8">
        <v>0</v>
      </c>
      <c r="P8">
        <v>30000</v>
      </c>
      <c r="Q8">
        <v>0</v>
      </c>
      <c r="R8">
        <v>0</v>
      </c>
      <c r="S8">
        <v>52.761279999999999</v>
      </c>
      <c r="T8">
        <v>-0.56008999999999998</v>
      </c>
      <c r="U8">
        <v>45</v>
      </c>
      <c r="V8">
        <v>0.9</v>
      </c>
      <c r="W8">
        <f t="shared" si="0"/>
        <v>32000</v>
      </c>
    </row>
    <row r="9" spans="1:23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>
        <v>1900</v>
      </c>
      <c r="G9">
        <v>0</v>
      </c>
      <c r="H9" t="s">
        <v>26</v>
      </c>
      <c r="I9" t="s">
        <v>27</v>
      </c>
      <c r="J9">
        <v>2016</v>
      </c>
      <c r="K9" t="s">
        <v>35</v>
      </c>
      <c r="L9" t="s">
        <v>69</v>
      </c>
      <c r="M9">
        <v>25000</v>
      </c>
      <c r="N9">
        <v>5000</v>
      </c>
      <c r="O9">
        <v>0</v>
      </c>
      <c r="P9">
        <v>10000</v>
      </c>
      <c r="Q9">
        <v>0</v>
      </c>
      <c r="R9">
        <v>10000</v>
      </c>
      <c r="S9">
        <v>53.251820299999999</v>
      </c>
      <c r="T9">
        <v>-4.3728987999999998</v>
      </c>
      <c r="U9">
        <v>45</v>
      </c>
      <c r="V9">
        <v>0.9</v>
      </c>
      <c r="W9">
        <f t="shared" si="0"/>
        <v>25000</v>
      </c>
    </row>
    <row r="10" spans="1:23" x14ac:dyDescent="0.3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>
        <v>1000</v>
      </c>
      <c r="G10">
        <v>0</v>
      </c>
      <c r="H10" t="s">
        <v>26</v>
      </c>
      <c r="I10" t="s">
        <v>27</v>
      </c>
      <c r="J10">
        <v>2016</v>
      </c>
      <c r="K10" t="s">
        <v>28</v>
      </c>
      <c r="L10" t="s">
        <v>75</v>
      </c>
      <c r="M10">
        <v>22000</v>
      </c>
      <c r="N10">
        <v>0</v>
      </c>
      <c r="O10">
        <v>22000</v>
      </c>
      <c r="P10">
        <v>0</v>
      </c>
      <c r="Q10">
        <v>0</v>
      </c>
      <c r="R10">
        <v>0</v>
      </c>
      <c r="S10">
        <v>54.74776</v>
      </c>
      <c r="T10">
        <v>-3.33087</v>
      </c>
      <c r="U10">
        <v>45</v>
      </c>
      <c r="V10">
        <v>0.9</v>
      </c>
      <c r="W10">
        <f t="shared" si="0"/>
        <v>22000</v>
      </c>
    </row>
    <row r="11" spans="1:23" x14ac:dyDescent="0.3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>
        <v>500</v>
      </c>
      <c r="G11">
        <v>0</v>
      </c>
      <c r="H11" t="s">
        <v>26</v>
      </c>
      <c r="I11" t="s">
        <v>27</v>
      </c>
      <c r="J11">
        <v>2013</v>
      </c>
      <c r="K11" t="s">
        <v>35</v>
      </c>
      <c r="L11" t="s">
        <v>81</v>
      </c>
      <c r="M11">
        <v>45000</v>
      </c>
      <c r="N11">
        <v>0</v>
      </c>
      <c r="O11">
        <v>0</v>
      </c>
      <c r="P11">
        <v>0</v>
      </c>
      <c r="Q11">
        <v>0</v>
      </c>
      <c r="R11">
        <v>45000</v>
      </c>
      <c r="S11">
        <v>51.815179999999998</v>
      </c>
      <c r="T11">
        <v>-0.7306899</v>
      </c>
      <c r="U11">
        <v>45</v>
      </c>
      <c r="V11">
        <v>0.9</v>
      </c>
      <c r="W11">
        <f t="shared" si="0"/>
        <v>45000</v>
      </c>
    </row>
    <row r="12" spans="1:23" x14ac:dyDescent="0.35">
      <c r="A12" t="s">
        <v>64</v>
      </c>
      <c r="B12" t="s">
        <v>65</v>
      </c>
      <c r="C12" t="s">
        <v>82</v>
      </c>
      <c r="D12" t="s">
        <v>83</v>
      </c>
      <c r="E12" t="s">
        <v>84</v>
      </c>
      <c r="F12">
        <v>1000</v>
      </c>
      <c r="G12">
        <v>0</v>
      </c>
      <c r="H12" t="s">
        <v>26</v>
      </c>
      <c r="I12" t="s">
        <v>27</v>
      </c>
      <c r="J12">
        <v>2015</v>
      </c>
      <c r="K12" t="s">
        <v>35</v>
      </c>
      <c r="L12" t="s">
        <v>85</v>
      </c>
      <c r="M12">
        <v>20000</v>
      </c>
      <c r="N12">
        <v>0</v>
      </c>
      <c r="O12">
        <v>0</v>
      </c>
      <c r="P12">
        <v>20000</v>
      </c>
      <c r="Q12">
        <v>0</v>
      </c>
      <c r="R12">
        <v>0</v>
      </c>
      <c r="S12">
        <v>52.095997400000002</v>
      </c>
      <c r="T12">
        <v>-4.6194578000000002</v>
      </c>
      <c r="U12">
        <v>45</v>
      </c>
      <c r="V12">
        <v>0.9</v>
      </c>
      <c r="W12">
        <f t="shared" si="0"/>
        <v>20000</v>
      </c>
    </row>
    <row r="13" spans="1:23" x14ac:dyDescent="0.35">
      <c r="A13" t="s">
        <v>70</v>
      </c>
      <c r="B13" t="s">
        <v>71</v>
      </c>
      <c r="C13" t="s">
        <v>86</v>
      </c>
      <c r="D13" t="s">
        <v>87</v>
      </c>
      <c r="E13" t="s">
        <v>88</v>
      </c>
      <c r="F13">
        <v>465</v>
      </c>
      <c r="G13">
        <v>550</v>
      </c>
      <c r="H13" t="s">
        <v>34</v>
      </c>
      <c r="I13" t="s">
        <v>27</v>
      </c>
      <c r="J13">
        <v>2016</v>
      </c>
      <c r="K13" t="s">
        <v>35</v>
      </c>
      <c r="L13" t="s">
        <v>89</v>
      </c>
      <c r="M13">
        <v>60225</v>
      </c>
      <c r="N13">
        <v>0</v>
      </c>
      <c r="O13">
        <v>0</v>
      </c>
      <c r="P13">
        <v>0</v>
      </c>
      <c r="Q13">
        <v>0</v>
      </c>
      <c r="R13">
        <v>60225</v>
      </c>
      <c r="S13">
        <v>54.758653600000002</v>
      </c>
      <c r="T13">
        <v>-3.3297723000000001</v>
      </c>
      <c r="U13">
        <v>45</v>
      </c>
      <c r="V13">
        <v>0.9</v>
      </c>
      <c r="W13">
        <f t="shared" si="0"/>
        <v>60225</v>
      </c>
    </row>
    <row r="14" spans="1:23" x14ac:dyDescent="0.35">
      <c r="A14" t="s">
        <v>76</v>
      </c>
      <c r="B14" t="s">
        <v>77</v>
      </c>
      <c r="C14" t="s">
        <v>90</v>
      </c>
      <c r="D14" t="s">
        <v>91</v>
      </c>
      <c r="E14" t="s">
        <v>80</v>
      </c>
      <c r="F14">
        <v>2400</v>
      </c>
      <c r="G14">
        <v>990.00000000000011</v>
      </c>
      <c r="H14" t="s">
        <v>34</v>
      </c>
      <c r="I14" t="s">
        <v>27</v>
      </c>
      <c r="J14">
        <v>2016</v>
      </c>
      <c r="K14" t="s">
        <v>35</v>
      </c>
      <c r="L14" t="s">
        <v>92</v>
      </c>
      <c r="M14">
        <v>50000</v>
      </c>
      <c r="N14">
        <v>0</v>
      </c>
      <c r="O14">
        <v>0</v>
      </c>
      <c r="P14">
        <v>50000</v>
      </c>
      <c r="Q14">
        <v>0</v>
      </c>
      <c r="R14">
        <v>0</v>
      </c>
      <c r="S14">
        <v>51.815179999999998</v>
      </c>
      <c r="T14">
        <v>-0.7306899</v>
      </c>
      <c r="U14">
        <v>45</v>
      </c>
      <c r="V14">
        <v>0.9</v>
      </c>
      <c r="W14">
        <f t="shared" si="0"/>
        <v>50000</v>
      </c>
    </row>
    <row r="15" spans="1:23" x14ac:dyDescent="0.35">
      <c r="A15" t="s">
        <v>70</v>
      </c>
      <c r="B15" t="s">
        <v>93</v>
      </c>
      <c r="C15" t="s">
        <v>94</v>
      </c>
      <c r="D15" t="s">
        <v>95</v>
      </c>
      <c r="E15" t="s">
        <v>96</v>
      </c>
      <c r="F15">
        <v>475</v>
      </c>
      <c r="G15">
        <v>0</v>
      </c>
      <c r="H15" t="s">
        <v>26</v>
      </c>
      <c r="I15" t="s">
        <v>27</v>
      </c>
      <c r="J15">
        <v>2015</v>
      </c>
      <c r="K15" t="s">
        <v>28</v>
      </c>
      <c r="L15" t="s">
        <v>97</v>
      </c>
      <c r="M15">
        <v>17000</v>
      </c>
      <c r="N15">
        <v>15000</v>
      </c>
      <c r="O15">
        <v>0</v>
      </c>
      <c r="P15">
        <v>0</v>
      </c>
      <c r="Q15">
        <v>2000</v>
      </c>
      <c r="R15">
        <v>0</v>
      </c>
      <c r="S15">
        <v>53.10857</v>
      </c>
      <c r="T15">
        <v>-2.5290599999999999</v>
      </c>
      <c r="U15">
        <v>45</v>
      </c>
      <c r="V15">
        <v>0.9</v>
      </c>
      <c r="W15">
        <f t="shared" si="0"/>
        <v>17000</v>
      </c>
    </row>
    <row r="16" spans="1:23" x14ac:dyDescent="0.35">
      <c r="A16" t="s">
        <v>22</v>
      </c>
      <c r="B16" t="s">
        <v>98</v>
      </c>
      <c r="C16" t="s">
        <v>99</v>
      </c>
      <c r="D16" t="s">
        <v>100</v>
      </c>
      <c r="E16" t="s">
        <v>101</v>
      </c>
      <c r="F16">
        <v>2650</v>
      </c>
      <c r="G16">
        <v>0</v>
      </c>
      <c r="H16" t="s">
        <v>26</v>
      </c>
      <c r="I16" t="s">
        <v>27</v>
      </c>
      <c r="J16">
        <v>2015</v>
      </c>
      <c r="K16" t="s">
        <v>35</v>
      </c>
      <c r="L16" t="s">
        <v>85</v>
      </c>
      <c r="M16">
        <v>45000</v>
      </c>
      <c r="N16">
        <v>0</v>
      </c>
      <c r="O16">
        <v>0</v>
      </c>
      <c r="P16">
        <v>45000</v>
      </c>
      <c r="Q16">
        <v>0</v>
      </c>
      <c r="R16">
        <v>0</v>
      </c>
      <c r="S16">
        <v>52.57056</v>
      </c>
      <c r="T16">
        <v>-1.5741700000000001</v>
      </c>
      <c r="U16">
        <v>45</v>
      </c>
      <c r="V16">
        <v>0.9</v>
      </c>
      <c r="W16">
        <f t="shared" si="0"/>
        <v>45000</v>
      </c>
    </row>
    <row r="17" spans="1:23" x14ac:dyDescent="0.3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>
        <v>500</v>
      </c>
      <c r="G17">
        <v>0</v>
      </c>
      <c r="H17" t="s">
        <v>26</v>
      </c>
      <c r="I17" t="s">
        <v>27</v>
      </c>
      <c r="J17">
        <v>2016</v>
      </c>
      <c r="K17" t="s">
        <v>35</v>
      </c>
      <c r="L17" t="s">
        <v>107</v>
      </c>
      <c r="M17">
        <v>20000</v>
      </c>
      <c r="N17">
        <v>0</v>
      </c>
      <c r="O17">
        <v>0</v>
      </c>
      <c r="P17">
        <v>0</v>
      </c>
      <c r="Q17">
        <v>0</v>
      </c>
      <c r="R17">
        <v>20000</v>
      </c>
      <c r="S17">
        <v>55.922451000000002</v>
      </c>
      <c r="T17">
        <v>-4.4375092</v>
      </c>
      <c r="U17">
        <v>45</v>
      </c>
      <c r="V17">
        <v>0.9</v>
      </c>
      <c r="W17">
        <f t="shared" si="0"/>
        <v>20000</v>
      </c>
    </row>
    <row r="18" spans="1:23" x14ac:dyDescent="0.35">
      <c r="A18" t="s">
        <v>22</v>
      </c>
      <c r="B18" t="s">
        <v>98</v>
      </c>
      <c r="C18" t="s">
        <v>108</v>
      </c>
      <c r="D18" t="s">
        <v>109</v>
      </c>
      <c r="E18" t="s">
        <v>110</v>
      </c>
      <c r="F18">
        <v>930</v>
      </c>
      <c r="G18">
        <v>1000</v>
      </c>
      <c r="H18" t="s">
        <v>34</v>
      </c>
      <c r="I18" t="s">
        <v>27</v>
      </c>
      <c r="J18">
        <v>2016</v>
      </c>
      <c r="K18" t="s">
        <v>28</v>
      </c>
      <c r="L18" t="s">
        <v>111</v>
      </c>
      <c r="M18">
        <v>25000</v>
      </c>
      <c r="N18">
        <v>0</v>
      </c>
      <c r="O18">
        <v>25000</v>
      </c>
      <c r="P18">
        <v>0</v>
      </c>
      <c r="Q18">
        <v>0</v>
      </c>
      <c r="R18">
        <v>0</v>
      </c>
      <c r="S18">
        <v>52.643889999999999</v>
      </c>
      <c r="T18">
        <v>-1.55799</v>
      </c>
      <c r="U18">
        <v>45</v>
      </c>
      <c r="V18">
        <v>0.9</v>
      </c>
      <c r="W18">
        <f t="shared" si="0"/>
        <v>25000</v>
      </c>
    </row>
    <row r="19" spans="1:23" x14ac:dyDescent="0.35">
      <c r="A19" t="s">
        <v>22</v>
      </c>
      <c r="B19" t="s">
        <v>23</v>
      </c>
      <c r="C19" t="s">
        <v>112</v>
      </c>
      <c r="D19" t="s">
        <v>112</v>
      </c>
      <c r="E19" t="s">
        <v>113</v>
      </c>
      <c r="F19">
        <v>449</v>
      </c>
      <c r="G19">
        <v>0</v>
      </c>
      <c r="H19" t="s">
        <v>26</v>
      </c>
      <c r="I19" t="s">
        <v>27</v>
      </c>
      <c r="J19">
        <v>2014</v>
      </c>
      <c r="K19" t="s">
        <v>28</v>
      </c>
      <c r="L19" t="s">
        <v>114</v>
      </c>
      <c r="M19">
        <v>11800</v>
      </c>
      <c r="N19">
        <v>4800</v>
      </c>
      <c r="O19">
        <v>7000</v>
      </c>
      <c r="P19">
        <v>0</v>
      </c>
      <c r="Q19">
        <v>0</v>
      </c>
      <c r="R19">
        <v>0</v>
      </c>
      <c r="S19">
        <v>52.84328</v>
      </c>
      <c r="T19">
        <v>-2.8745099999999999</v>
      </c>
      <c r="U19">
        <v>45</v>
      </c>
      <c r="V19">
        <v>0.9</v>
      </c>
      <c r="W19">
        <f t="shared" si="0"/>
        <v>11800</v>
      </c>
    </row>
    <row r="20" spans="1:23" x14ac:dyDescent="0.35">
      <c r="A20" t="s">
        <v>37</v>
      </c>
      <c r="B20" t="s">
        <v>115</v>
      </c>
      <c r="C20" t="s">
        <v>116</v>
      </c>
      <c r="D20" t="s">
        <v>117</v>
      </c>
      <c r="E20" t="s">
        <v>118</v>
      </c>
      <c r="F20">
        <v>1000</v>
      </c>
      <c r="G20">
        <v>0</v>
      </c>
      <c r="H20" t="s">
        <v>26</v>
      </c>
      <c r="I20" t="s">
        <v>27</v>
      </c>
      <c r="J20">
        <v>2012</v>
      </c>
      <c r="K20" t="s">
        <v>28</v>
      </c>
      <c r="L20" t="s">
        <v>119</v>
      </c>
      <c r="M20">
        <v>18800</v>
      </c>
      <c r="N20">
        <v>5000</v>
      </c>
      <c r="O20">
        <v>7800</v>
      </c>
      <c r="P20">
        <v>0</v>
      </c>
      <c r="Q20">
        <v>0</v>
      </c>
      <c r="R20">
        <v>6000</v>
      </c>
      <c r="S20">
        <v>55.141232899999999</v>
      </c>
      <c r="T20">
        <v>-6.6057931999999999</v>
      </c>
      <c r="U20">
        <v>45</v>
      </c>
      <c r="V20">
        <v>0.9</v>
      </c>
      <c r="W20">
        <f t="shared" si="0"/>
        <v>18800</v>
      </c>
    </row>
    <row r="21" spans="1:23" x14ac:dyDescent="0.35">
      <c r="A21" t="s">
        <v>76</v>
      </c>
      <c r="B21" t="s">
        <v>120</v>
      </c>
      <c r="C21" t="s">
        <v>121</v>
      </c>
      <c r="D21" t="s">
        <v>122</v>
      </c>
      <c r="E21" t="s">
        <v>123</v>
      </c>
      <c r="F21">
        <v>2800</v>
      </c>
      <c r="G21">
        <v>0</v>
      </c>
      <c r="H21" t="s">
        <v>26</v>
      </c>
      <c r="I21" t="s">
        <v>27</v>
      </c>
      <c r="J21">
        <v>2014</v>
      </c>
      <c r="K21" t="s">
        <v>35</v>
      </c>
      <c r="L21" t="s">
        <v>85</v>
      </c>
      <c r="M21">
        <v>40000</v>
      </c>
      <c r="N21">
        <v>0</v>
      </c>
      <c r="O21">
        <v>0</v>
      </c>
      <c r="P21">
        <v>40000</v>
      </c>
      <c r="Q21">
        <v>0</v>
      </c>
      <c r="R21">
        <v>0</v>
      </c>
      <c r="S21">
        <v>52.059199999999997</v>
      </c>
      <c r="T21">
        <v>-1.31734</v>
      </c>
      <c r="U21">
        <v>45</v>
      </c>
      <c r="V21">
        <v>0.9</v>
      </c>
      <c r="W21">
        <f t="shared" si="0"/>
        <v>40000</v>
      </c>
    </row>
    <row r="22" spans="1:23" x14ac:dyDescent="0.35">
      <c r="A22" t="s">
        <v>102</v>
      </c>
      <c r="B22" t="s">
        <v>103</v>
      </c>
      <c r="C22" t="s">
        <v>124</v>
      </c>
      <c r="D22" t="s">
        <v>125</v>
      </c>
      <c r="E22" t="s">
        <v>126</v>
      </c>
      <c r="F22">
        <v>2700</v>
      </c>
      <c r="G22">
        <v>0</v>
      </c>
      <c r="H22" t="s">
        <v>26</v>
      </c>
      <c r="I22" t="s">
        <v>27</v>
      </c>
      <c r="J22">
        <v>2011</v>
      </c>
      <c r="K22" t="s">
        <v>35</v>
      </c>
      <c r="L22" t="s">
        <v>127</v>
      </c>
      <c r="M22">
        <v>75000</v>
      </c>
      <c r="N22">
        <v>0</v>
      </c>
      <c r="O22">
        <v>35000</v>
      </c>
      <c r="P22">
        <v>40000</v>
      </c>
      <c r="Q22">
        <v>0</v>
      </c>
      <c r="R22">
        <v>0</v>
      </c>
      <c r="S22">
        <v>55.721260000000001</v>
      </c>
      <c r="T22">
        <v>-4.6543900000000002</v>
      </c>
      <c r="U22">
        <v>45</v>
      </c>
      <c r="V22">
        <v>0.9</v>
      </c>
      <c r="W22">
        <f t="shared" si="0"/>
        <v>75000</v>
      </c>
    </row>
    <row r="23" spans="1:23" x14ac:dyDescent="0.35">
      <c r="A23" t="s">
        <v>30</v>
      </c>
      <c r="B23" t="s">
        <v>31</v>
      </c>
      <c r="C23" t="s">
        <v>128</v>
      </c>
      <c r="D23" t="s">
        <v>129</v>
      </c>
      <c r="E23" t="s">
        <v>130</v>
      </c>
      <c r="F23">
        <v>487.02</v>
      </c>
      <c r="G23">
        <v>0</v>
      </c>
      <c r="H23" t="s">
        <v>26</v>
      </c>
      <c r="I23" t="s">
        <v>27</v>
      </c>
      <c r="J23">
        <v>2014</v>
      </c>
      <c r="K23" t="s">
        <v>28</v>
      </c>
      <c r="L23" t="s">
        <v>131</v>
      </c>
      <c r="M23">
        <v>21000</v>
      </c>
      <c r="N23">
        <v>8000</v>
      </c>
      <c r="O23">
        <v>7000</v>
      </c>
      <c r="P23">
        <v>0</v>
      </c>
      <c r="Q23">
        <v>6000</v>
      </c>
      <c r="R23">
        <v>0</v>
      </c>
      <c r="S23">
        <v>52.3140304</v>
      </c>
      <c r="T23">
        <v>1.2993789</v>
      </c>
      <c r="U23">
        <v>45</v>
      </c>
      <c r="V23">
        <v>0.9</v>
      </c>
      <c r="W23">
        <f t="shared" si="0"/>
        <v>21000</v>
      </c>
    </row>
    <row r="24" spans="1:23" x14ac:dyDescent="0.35">
      <c r="A24" t="s">
        <v>37</v>
      </c>
      <c r="B24" t="s">
        <v>132</v>
      </c>
      <c r="C24" t="s">
        <v>133</v>
      </c>
      <c r="D24" t="s">
        <v>134</v>
      </c>
      <c r="E24" t="s">
        <v>135</v>
      </c>
      <c r="F24">
        <v>500</v>
      </c>
      <c r="G24">
        <v>0</v>
      </c>
      <c r="H24" t="s">
        <v>26</v>
      </c>
      <c r="I24" t="s">
        <v>27</v>
      </c>
      <c r="J24">
        <v>2016</v>
      </c>
      <c r="K24" t="s">
        <v>28</v>
      </c>
      <c r="L24" t="s">
        <v>136</v>
      </c>
      <c r="M24">
        <v>16000</v>
      </c>
      <c r="N24">
        <v>4000</v>
      </c>
      <c r="O24">
        <v>12000</v>
      </c>
      <c r="P24">
        <v>0</v>
      </c>
      <c r="Q24">
        <v>0</v>
      </c>
      <c r="R24">
        <v>0</v>
      </c>
      <c r="S24">
        <v>54.711474899999999</v>
      </c>
      <c r="T24">
        <v>-7.4110449999999997</v>
      </c>
      <c r="U24">
        <v>45</v>
      </c>
      <c r="V24">
        <v>0.9</v>
      </c>
      <c r="W24">
        <f t="shared" si="0"/>
        <v>16000</v>
      </c>
    </row>
    <row r="25" spans="1:23" x14ac:dyDescent="0.35">
      <c r="A25" t="s">
        <v>76</v>
      </c>
      <c r="B25" t="s">
        <v>120</v>
      </c>
      <c r="C25" t="s">
        <v>137</v>
      </c>
      <c r="D25" t="s">
        <v>138</v>
      </c>
      <c r="E25" t="s">
        <v>139</v>
      </c>
      <c r="F25">
        <v>2078</v>
      </c>
      <c r="G25">
        <v>0</v>
      </c>
      <c r="H25" t="s">
        <v>26</v>
      </c>
      <c r="I25" t="s">
        <v>27</v>
      </c>
      <c r="J25">
        <v>2012</v>
      </c>
      <c r="K25" t="s">
        <v>35</v>
      </c>
      <c r="L25" t="s">
        <v>140</v>
      </c>
      <c r="M25">
        <v>45000</v>
      </c>
      <c r="N25">
        <v>0</v>
      </c>
      <c r="O25">
        <v>15000</v>
      </c>
      <c r="P25">
        <v>30000</v>
      </c>
      <c r="Q25">
        <v>0</v>
      </c>
      <c r="R25">
        <v>0</v>
      </c>
      <c r="S25">
        <v>51.614089999999997</v>
      </c>
      <c r="T25">
        <v>-1.1123499999999999</v>
      </c>
      <c r="U25">
        <v>45</v>
      </c>
      <c r="V25">
        <v>0.9</v>
      </c>
      <c r="W25">
        <f t="shared" si="0"/>
        <v>45000</v>
      </c>
    </row>
    <row r="26" spans="1:23" x14ac:dyDescent="0.35">
      <c r="A26" t="s">
        <v>30</v>
      </c>
      <c r="B26" t="s">
        <v>31</v>
      </c>
      <c r="C26" t="s">
        <v>141</v>
      </c>
      <c r="D26" t="s">
        <v>142</v>
      </c>
      <c r="E26" t="s">
        <v>143</v>
      </c>
      <c r="F26">
        <v>500</v>
      </c>
      <c r="G26">
        <v>450</v>
      </c>
      <c r="H26" t="s">
        <v>34</v>
      </c>
      <c r="I26" t="s">
        <v>27</v>
      </c>
      <c r="J26">
        <v>2016</v>
      </c>
      <c r="K26" t="s">
        <v>28</v>
      </c>
      <c r="L26" t="s">
        <v>144</v>
      </c>
      <c r="M26">
        <v>40000</v>
      </c>
      <c r="N26">
        <v>8000</v>
      </c>
      <c r="O26">
        <v>24000</v>
      </c>
      <c r="P26">
        <v>0</v>
      </c>
      <c r="Q26">
        <v>8000</v>
      </c>
      <c r="R26">
        <v>0</v>
      </c>
      <c r="S26">
        <v>52.317607199999998</v>
      </c>
      <c r="T26">
        <v>0.493259</v>
      </c>
      <c r="U26">
        <v>45</v>
      </c>
      <c r="V26">
        <v>0.9</v>
      </c>
      <c r="W26">
        <f t="shared" si="0"/>
        <v>40000</v>
      </c>
    </row>
    <row r="27" spans="1:23" x14ac:dyDescent="0.35">
      <c r="A27" t="s">
        <v>58</v>
      </c>
      <c r="B27" t="s">
        <v>145</v>
      </c>
      <c r="C27" t="s">
        <v>146</v>
      </c>
      <c r="D27" t="s">
        <v>146</v>
      </c>
      <c r="E27" t="s">
        <v>147</v>
      </c>
      <c r="F27">
        <v>244</v>
      </c>
      <c r="G27">
        <v>0</v>
      </c>
      <c r="H27" t="s">
        <v>26</v>
      </c>
      <c r="I27" t="s">
        <v>27</v>
      </c>
      <c r="J27">
        <v>2015</v>
      </c>
      <c r="K27" t="s">
        <v>35</v>
      </c>
      <c r="L27" t="s">
        <v>148</v>
      </c>
      <c r="M27">
        <v>20000</v>
      </c>
      <c r="N27">
        <v>0</v>
      </c>
      <c r="O27">
        <v>5000</v>
      </c>
      <c r="P27">
        <v>0</v>
      </c>
      <c r="Q27">
        <v>0</v>
      </c>
      <c r="R27">
        <v>15000</v>
      </c>
      <c r="S27">
        <v>52.702039900000003</v>
      </c>
      <c r="T27">
        <v>-0.82264000000000004</v>
      </c>
      <c r="U27">
        <v>45</v>
      </c>
      <c r="V27">
        <v>0.9</v>
      </c>
      <c r="W27">
        <f t="shared" si="0"/>
        <v>20000</v>
      </c>
    </row>
    <row r="28" spans="1:23" x14ac:dyDescent="0.35">
      <c r="A28" t="s">
        <v>37</v>
      </c>
      <c r="B28" t="s">
        <v>149</v>
      </c>
      <c r="C28" t="s">
        <v>150</v>
      </c>
      <c r="D28" t="s">
        <v>151</v>
      </c>
      <c r="E28" t="s">
        <v>152</v>
      </c>
      <c r="F28">
        <v>242.5</v>
      </c>
      <c r="G28">
        <v>0</v>
      </c>
      <c r="H28" t="s">
        <v>26</v>
      </c>
      <c r="I28" t="s">
        <v>27</v>
      </c>
      <c r="J28">
        <v>2017</v>
      </c>
      <c r="K28" t="s">
        <v>28</v>
      </c>
      <c r="L28" t="s">
        <v>153</v>
      </c>
      <c r="M28">
        <v>12000</v>
      </c>
      <c r="N28">
        <v>8000</v>
      </c>
      <c r="O28">
        <v>4000</v>
      </c>
      <c r="P28">
        <v>0</v>
      </c>
      <c r="Q28">
        <v>0</v>
      </c>
      <c r="R28">
        <v>0</v>
      </c>
      <c r="S28">
        <v>54.663529150000002</v>
      </c>
      <c r="T28">
        <v>-6.1055693499999997</v>
      </c>
      <c r="U28">
        <v>45</v>
      </c>
      <c r="V28">
        <v>0.9</v>
      </c>
      <c r="W28">
        <f t="shared" si="0"/>
        <v>12000</v>
      </c>
    </row>
    <row r="29" spans="1:23" x14ac:dyDescent="0.35">
      <c r="A29" t="s">
        <v>102</v>
      </c>
      <c r="B29" t="s">
        <v>154</v>
      </c>
      <c r="C29" t="s">
        <v>155</v>
      </c>
      <c r="D29" t="s">
        <v>156</v>
      </c>
      <c r="E29" t="s">
        <v>157</v>
      </c>
      <c r="F29">
        <v>2360</v>
      </c>
      <c r="G29">
        <v>0</v>
      </c>
      <c r="H29" t="s">
        <v>26</v>
      </c>
      <c r="I29" t="s">
        <v>27</v>
      </c>
      <c r="J29">
        <v>2012</v>
      </c>
      <c r="K29" t="s">
        <v>35</v>
      </c>
      <c r="L29" t="s">
        <v>158</v>
      </c>
      <c r="M29">
        <v>30000</v>
      </c>
      <c r="N29">
        <v>0</v>
      </c>
      <c r="O29">
        <v>0</v>
      </c>
      <c r="P29">
        <v>30000</v>
      </c>
      <c r="Q29">
        <v>0</v>
      </c>
      <c r="R29">
        <v>0</v>
      </c>
      <c r="S29">
        <v>56.305790000000002</v>
      </c>
      <c r="T29">
        <v>-3.3378199</v>
      </c>
      <c r="U29">
        <v>45</v>
      </c>
      <c r="V29">
        <v>0.9</v>
      </c>
      <c r="W29">
        <f t="shared" si="0"/>
        <v>30000</v>
      </c>
    </row>
    <row r="30" spans="1:23" x14ac:dyDescent="0.35">
      <c r="A30" t="s">
        <v>58</v>
      </c>
      <c r="B30" t="s">
        <v>159</v>
      </c>
      <c r="C30" t="s">
        <v>160</v>
      </c>
      <c r="D30" t="s">
        <v>160</v>
      </c>
      <c r="E30" t="s">
        <v>161</v>
      </c>
      <c r="F30">
        <v>360</v>
      </c>
      <c r="G30">
        <v>450</v>
      </c>
      <c r="H30" t="s">
        <v>34</v>
      </c>
      <c r="I30" t="s">
        <v>27</v>
      </c>
      <c r="J30">
        <v>2016</v>
      </c>
      <c r="K30" t="s">
        <v>28</v>
      </c>
      <c r="L30" t="s">
        <v>162</v>
      </c>
      <c r="M30">
        <v>38450</v>
      </c>
      <c r="N30">
        <v>0</v>
      </c>
      <c r="O30">
        <v>38450</v>
      </c>
      <c r="P30">
        <v>0</v>
      </c>
      <c r="Q30">
        <v>0</v>
      </c>
      <c r="R30">
        <v>0</v>
      </c>
      <c r="S30">
        <v>33.599106300000003</v>
      </c>
      <c r="T30">
        <v>114.0155766451623</v>
      </c>
      <c r="U30">
        <v>45</v>
      </c>
      <c r="V30">
        <v>0.9</v>
      </c>
      <c r="W30">
        <f t="shared" si="0"/>
        <v>38450</v>
      </c>
    </row>
    <row r="31" spans="1:23" x14ac:dyDescent="0.3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>
        <v>500</v>
      </c>
      <c r="G31">
        <v>550</v>
      </c>
      <c r="H31" t="s">
        <v>34</v>
      </c>
      <c r="I31" t="s">
        <v>27</v>
      </c>
      <c r="J31">
        <v>2013</v>
      </c>
      <c r="K31" t="s">
        <v>28</v>
      </c>
      <c r="L31" t="s">
        <v>168</v>
      </c>
      <c r="M31">
        <v>20500</v>
      </c>
      <c r="N31">
        <v>2500</v>
      </c>
      <c r="O31">
        <v>18000</v>
      </c>
      <c r="P31">
        <v>0</v>
      </c>
      <c r="Q31">
        <v>0</v>
      </c>
      <c r="R31">
        <v>0</v>
      </c>
      <c r="S31">
        <v>51.658560000000001</v>
      </c>
      <c r="T31">
        <v>-1.7910600000000001</v>
      </c>
      <c r="U31">
        <v>45</v>
      </c>
      <c r="V31">
        <v>0.9</v>
      </c>
      <c r="W31">
        <f t="shared" si="0"/>
        <v>20500</v>
      </c>
    </row>
    <row r="32" spans="1:23" x14ac:dyDescent="0.35">
      <c r="A32" t="s">
        <v>163</v>
      </c>
      <c r="B32" t="s">
        <v>169</v>
      </c>
      <c r="C32" t="s">
        <v>137</v>
      </c>
      <c r="D32" t="s">
        <v>170</v>
      </c>
      <c r="E32" t="s">
        <v>171</v>
      </c>
      <c r="F32">
        <v>4700</v>
      </c>
      <c r="G32">
        <v>550</v>
      </c>
      <c r="H32" t="s">
        <v>34</v>
      </c>
      <c r="I32" t="s">
        <v>27</v>
      </c>
      <c r="J32">
        <v>2014</v>
      </c>
      <c r="K32" t="s">
        <v>35</v>
      </c>
      <c r="L32" t="s">
        <v>85</v>
      </c>
      <c r="M32">
        <v>34000</v>
      </c>
      <c r="N32">
        <v>0</v>
      </c>
      <c r="O32">
        <v>0</v>
      </c>
      <c r="P32">
        <v>34000</v>
      </c>
      <c r="Q32">
        <v>0</v>
      </c>
      <c r="R32">
        <v>0</v>
      </c>
      <c r="S32">
        <v>51.946533250000002</v>
      </c>
      <c r="T32">
        <v>-2.08244345</v>
      </c>
      <c r="U32">
        <v>45</v>
      </c>
      <c r="V32">
        <v>0.9</v>
      </c>
      <c r="W32">
        <f t="shared" si="0"/>
        <v>34000</v>
      </c>
    </row>
    <row r="33" spans="1:23" x14ac:dyDescent="0.35">
      <c r="A33" t="s">
        <v>22</v>
      </c>
      <c r="B33" t="s">
        <v>172</v>
      </c>
      <c r="C33" t="s">
        <v>173</v>
      </c>
      <c r="D33" t="s">
        <v>174</v>
      </c>
      <c r="E33" t="s">
        <v>175</v>
      </c>
      <c r="F33">
        <v>1000</v>
      </c>
      <c r="G33">
        <v>0</v>
      </c>
      <c r="H33" t="s">
        <v>26</v>
      </c>
      <c r="I33" t="s">
        <v>27</v>
      </c>
      <c r="J33" t="s">
        <v>46</v>
      </c>
      <c r="K33" t="s">
        <v>28</v>
      </c>
      <c r="L33" t="s">
        <v>176</v>
      </c>
      <c r="M33">
        <v>45000</v>
      </c>
      <c r="N33">
        <v>0</v>
      </c>
      <c r="O33">
        <v>45000</v>
      </c>
      <c r="P33">
        <v>0</v>
      </c>
      <c r="Q33">
        <v>0</v>
      </c>
      <c r="R33">
        <v>0</v>
      </c>
      <c r="S33">
        <v>52.092219999999998</v>
      </c>
      <c r="T33">
        <v>-2.29264</v>
      </c>
      <c r="U33">
        <v>45</v>
      </c>
      <c r="V33">
        <v>0.9</v>
      </c>
      <c r="W33">
        <f t="shared" si="0"/>
        <v>45000</v>
      </c>
    </row>
    <row r="34" spans="1:23" x14ac:dyDescent="0.35">
      <c r="A34" t="s">
        <v>163</v>
      </c>
      <c r="B34" t="s">
        <v>177</v>
      </c>
      <c r="C34" t="s">
        <v>178</v>
      </c>
      <c r="D34" t="s">
        <v>179</v>
      </c>
      <c r="E34" t="s">
        <v>180</v>
      </c>
      <c r="F34">
        <v>150</v>
      </c>
      <c r="G34">
        <v>0</v>
      </c>
      <c r="H34" t="s">
        <v>26</v>
      </c>
      <c r="I34" t="s">
        <v>27</v>
      </c>
      <c r="J34">
        <v>2011</v>
      </c>
      <c r="K34" t="s">
        <v>35</v>
      </c>
      <c r="L34" t="s">
        <v>181</v>
      </c>
      <c r="M34">
        <v>27000</v>
      </c>
      <c r="N34">
        <v>0</v>
      </c>
      <c r="O34">
        <v>0</v>
      </c>
      <c r="P34">
        <v>0</v>
      </c>
      <c r="Q34">
        <v>0</v>
      </c>
      <c r="R34">
        <v>27000</v>
      </c>
      <c r="S34">
        <v>51.012245100000001</v>
      </c>
      <c r="T34">
        <v>-2.1791882999999999</v>
      </c>
      <c r="U34">
        <v>45</v>
      </c>
      <c r="V34">
        <v>0.9</v>
      </c>
      <c r="W34">
        <f t="shared" si="0"/>
        <v>27000</v>
      </c>
    </row>
    <row r="35" spans="1:23" x14ac:dyDescent="0.35">
      <c r="A35" t="s">
        <v>76</v>
      </c>
      <c r="B35" t="s">
        <v>182</v>
      </c>
      <c r="C35" t="s">
        <v>183</v>
      </c>
      <c r="D35" t="s">
        <v>184</v>
      </c>
      <c r="E35" t="s">
        <v>185</v>
      </c>
      <c r="F35">
        <v>499</v>
      </c>
      <c r="G35">
        <v>650</v>
      </c>
      <c r="H35" t="s">
        <v>34</v>
      </c>
      <c r="I35" t="s">
        <v>27</v>
      </c>
      <c r="J35">
        <v>2020</v>
      </c>
      <c r="K35" t="s">
        <v>35</v>
      </c>
      <c r="L35" t="s">
        <v>85</v>
      </c>
      <c r="M35">
        <v>75000</v>
      </c>
      <c r="N35">
        <v>0</v>
      </c>
      <c r="O35">
        <v>0</v>
      </c>
      <c r="P35">
        <v>50000</v>
      </c>
      <c r="Q35">
        <v>0</v>
      </c>
      <c r="R35">
        <v>25000</v>
      </c>
      <c r="S35">
        <v>51.280239999999999</v>
      </c>
      <c r="T35">
        <v>0.38563999999999998</v>
      </c>
      <c r="U35">
        <v>45</v>
      </c>
      <c r="V35">
        <v>0.9</v>
      </c>
      <c r="W35">
        <f t="shared" si="0"/>
        <v>75000</v>
      </c>
    </row>
    <row r="36" spans="1:23" x14ac:dyDescent="0.35">
      <c r="A36" t="s">
        <v>48</v>
      </c>
      <c r="B36" t="s">
        <v>186</v>
      </c>
      <c r="C36" t="s">
        <v>187</v>
      </c>
      <c r="D36" t="s">
        <v>188</v>
      </c>
      <c r="E36" t="s">
        <v>189</v>
      </c>
      <c r="F36">
        <v>484</v>
      </c>
      <c r="G36">
        <v>0</v>
      </c>
      <c r="H36" t="s">
        <v>26</v>
      </c>
      <c r="I36" t="s">
        <v>27</v>
      </c>
      <c r="J36">
        <v>2015</v>
      </c>
      <c r="K36" t="s">
        <v>35</v>
      </c>
      <c r="L36" t="s">
        <v>53</v>
      </c>
      <c r="M36">
        <v>18000</v>
      </c>
      <c r="N36">
        <v>0</v>
      </c>
      <c r="O36">
        <v>0</v>
      </c>
      <c r="P36">
        <v>10800</v>
      </c>
      <c r="Q36">
        <v>0</v>
      </c>
      <c r="R36">
        <v>7200</v>
      </c>
      <c r="S36">
        <v>53.505960000000002</v>
      </c>
      <c r="T36">
        <v>-1.3195399999999999</v>
      </c>
      <c r="U36">
        <v>45</v>
      </c>
      <c r="V36">
        <v>0.9</v>
      </c>
      <c r="W36">
        <f t="shared" si="0"/>
        <v>18000</v>
      </c>
    </row>
    <row r="37" spans="1:23" x14ac:dyDescent="0.35">
      <c r="A37" t="s">
        <v>37</v>
      </c>
      <c r="B37" t="s">
        <v>149</v>
      </c>
      <c r="C37" t="s">
        <v>190</v>
      </c>
      <c r="D37" t="s">
        <v>191</v>
      </c>
      <c r="E37" t="s">
        <v>192</v>
      </c>
      <c r="F37">
        <v>479</v>
      </c>
      <c r="G37">
        <v>0</v>
      </c>
      <c r="H37" t="s">
        <v>26</v>
      </c>
      <c r="I37" t="s">
        <v>27</v>
      </c>
      <c r="J37">
        <v>2017</v>
      </c>
      <c r="K37" t="s">
        <v>35</v>
      </c>
      <c r="L37" t="s">
        <v>193</v>
      </c>
      <c r="M37">
        <v>17500</v>
      </c>
      <c r="N37">
        <v>0</v>
      </c>
      <c r="O37">
        <v>0</v>
      </c>
      <c r="P37">
        <v>17500</v>
      </c>
      <c r="Q37">
        <v>0</v>
      </c>
      <c r="R37">
        <v>0</v>
      </c>
      <c r="S37">
        <v>54.596164700000003</v>
      </c>
      <c r="T37">
        <v>-5.7046771999999999</v>
      </c>
      <c r="U37">
        <v>45</v>
      </c>
      <c r="V37">
        <v>0.9</v>
      </c>
      <c r="W37">
        <f t="shared" si="0"/>
        <v>17500</v>
      </c>
    </row>
    <row r="38" spans="1:23" x14ac:dyDescent="0.35">
      <c r="A38" t="s">
        <v>163</v>
      </c>
      <c r="B38" t="s">
        <v>164</v>
      </c>
      <c r="C38" t="s">
        <v>194</v>
      </c>
      <c r="D38" t="s">
        <v>195</v>
      </c>
      <c r="E38" t="s">
        <v>196</v>
      </c>
      <c r="F38">
        <v>1030</v>
      </c>
      <c r="G38">
        <v>0</v>
      </c>
      <c r="H38" t="s">
        <v>26</v>
      </c>
      <c r="I38" t="s">
        <v>27</v>
      </c>
      <c r="J38">
        <v>2012</v>
      </c>
      <c r="K38" t="s">
        <v>35</v>
      </c>
      <c r="L38" t="s">
        <v>197</v>
      </c>
      <c r="M38">
        <v>20000</v>
      </c>
      <c r="N38">
        <v>0</v>
      </c>
      <c r="O38">
        <v>0</v>
      </c>
      <c r="P38">
        <v>12000</v>
      </c>
      <c r="Q38">
        <v>0</v>
      </c>
      <c r="R38">
        <v>8000</v>
      </c>
      <c r="S38">
        <v>51.192390000000003</v>
      </c>
      <c r="T38">
        <v>-2.1909299999999998</v>
      </c>
      <c r="U38">
        <v>45</v>
      </c>
      <c r="V38">
        <v>0.9</v>
      </c>
      <c r="W38">
        <f t="shared" si="0"/>
        <v>20000</v>
      </c>
    </row>
    <row r="39" spans="1:23" x14ac:dyDescent="0.35">
      <c r="A39" t="s">
        <v>163</v>
      </c>
      <c r="B39" t="s">
        <v>177</v>
      </c>
      <c r="C39" t="s">
        <v>198</v>
      </c>
      <c r="D39" t="s">
        <v>199</v>
      </c>
      <c r="E39" t="s">
        <v>200</v>
      </c>
      <c r="F39">
        <v>1600</v>
      </c>
      <c r="G39">
        <v>0</v>
      </c>
      <c r="H39" t="s">
        <v>26</v>
      </c>
      <c r="I39" t="s">
        <v>27</v>
      </c>
      <c r="J39">
        <v>2012</v>
      </c>
      <c r="K39" t="s">
        <v>35</v>
      </c>
      <c r="L39" t="s">
        <v>201</v>
      </c>
      <c r="M39">
        <v>43000</v>
      </c>
      <c r="N39">
        <v>6000</v>
      </c>
      <c r="O39">
        <v>0</v>
      </c>
      <c r="P39">
        <v>37000</v>
      </c>
      <c r="Q39">
        <v>0</v>
      </c>
      <c r="R39">
        <v>0</v>
      </c>
      <c r="S39">
        <v>50.776670000000003</v>
      </c>
      <c r="T39">
        <v>-2.3937300000000001</v>
      </c>
      <c r="U39">
        <v>45</v>
      </c>
      <c r="V39">
        <v>0.9</v>
      </c>
      <c r="W39">
        <f t="shared" si="0"/>
        <v>43000</v>
      </c>
    </row>
    <row r="40" spans="1:23" x14ac:dyDescent="0.35">
      <c r="A40" t="s">
        <v>22</v>
      </c>
      <c r="B40" t="s">
        <v>202</v>
      </c>
      <c r="C40" t="s">
        <v>203</v>
      </c>
      <c r="D40" t="s">
        <v>204</v>
      </c>
      <c r="E40" t="s">
        <v>205</v>
      </c>
      <c r="F40">
        <v>495</v>
      </c>
      <c r="G40">
        <v>0</v>
      </c>
      <c r="H40" t="s">
        <v>26</v>
      </c>
      <c r="I40" t="s">
        <v>27</v>
      </c>
      <c r="J40">
        <v>2014</v>
      </c>
      <c r="K40" t="s">
        <v>28</v>
      </c>
      <c r="L40" t="s">
        <v>206</v>
      </c>
      <c r="M40">
        <v>13725</v>
      </c>
      <c r="N40">
        <v>5125</v>
      </c>
      <c r="O40">
        <v>8600</v>
      </c>
      <c r="P40">
        <v>0</v>
      </c>
      <c r="Q40">
        <v>0</v>
      </c>
      <c r="R40">
        <v>0</v>
      </c>
      <c r="S40">
        <v>52.176049900000002</v>
      </c>
      <c r="T40">
        <v>-2.70397</v>
      </c>
      <c r="U40">
        <v>45</v>
      </c>
      <c r="V40">
        <v>0.9</v>
      </c>
      <c r="W40">
        <f t="shared" si="0"/>
        <v>13725</v>
      </c>
    </row>
    <row r="41" spans="1:23" x14ac:dyDescent="0.35">
      <c r="A41" t="s">
        <v>102</v>
      </c>
      <c r="B41" t="s">
        <v>154</v>
      </c>
      <c r="C41" t="s">
        <v>207</v>
      </c>
      <c r="D41" t="s">
        <v>208</v>
      </c>
      <c r="E41" t="s">
        <v>209</v>
      </c>
      <c r="F41">
        <v>250</v>
      </c>
      <c r="G41">
        <v>550</v>
      </c>
      <c r="H41" t="s">
        <v>34</v>
      </c>
      <c r="I41" t="s">
        <v>27</v>
      </c>
      <c r="J41">
        <v>2016</v>
      </c>
      <c r="K41" t="s">
        <v>28</v>
      </c>
      <c r="L41" t="s">
        <v>210</v>
      </c>
      <c r="M41">
        <v>35000</v>
      </c>
      <c r="N41">
        <v>0</v>
      </c>
      <c r="O41">
        <v>34000</v>
      </c>
      <c r="P41">
        <v>0</v>
      </c>
      <c r="Q41">
        <v>1000</v>
      </c>
      <c r="R41">
        <v>0</v>
      </c>
      <c r="S41">
        <v>56.775460000000002</v>
      </c>
      <c r="T41">
        <v>-2.5895899999999998</v>
      </c>
      <c r="U41">
        <v>45</v>
      </c>
      <c r="V41">
        <v>0.9</v>
      </c>
      <c r="W41">
        <f t="shared" si="0"/>
        <v>35000</v>
      </c>
    </row>
    <row r="42" spans="1:23" x14ac:dyDescent="0.35">
      <c r="A42" t="s">
        <v>22</v>
      </c>
      <c r="B42" t="s">
        <v>98</v>
      </c>
      <c r="C42" t="s">
        <v>211</v>
      </c>
      <c r="D42" t="s">
        <v>212</v>
      </c>
      <c r="E42" t="s">
        <v>213</v>
      </c>
      <c r="F42">
        <v>495</v>
      </c>
      <c r="G42">
        <v>0</v>
      </c>
      <c r="H42" t="s">
        <v>26</v>
      </c>
      <c r="I42" t="s">
        <v>27</v>
      </c>
      <c r="J42">
        <v>2014</v>
      </c>
      <c r="K42" t="s">
        <v>28</v>
      </c>
      <c r="L42" t="s">
        <v>214</v>
      </c>
      <c r="M42">
        <v>11000</v>
      </c>
      <c r="N42">
        <v>1000</v>
      </c>
      <c r="O42">
        <v>10000</v>
      </c>
      <c r="P42">
        <v>0</v>
      </c>
      <c r="Q42">
        <v>0</v>
      </c>
      <c r="R42">
        <v>0</v>
      </c>
      <c r="S42">
        <v>52.387680000000003</v>
      </c>
      <c r="T42">
        <v>-1.3838699999999999</v>
      </c>
      <c r="U42">
        <v>45</v>
      </c>
      <c r="V42">
        <v>0.9</v>
      </c>
      <c r="W42">
        <f t="shared" si="0"/>
        <v>11000</v>
      </c>
    </row>
    <row r="43" spans="1:23" x14ac:dyDescent="0.35">
      <c r="A43" t="s">
        <v>215</v>
      </c>
      <c r="B43" t="s">
        <v>216</v>
      </c>
      <c r="C43" t="s">
        <v>217</v>
      </c>
      <c r="D43" t="s">
        <v>218</v>
      </c>
      <c r="E43" t="s">
        <v>219</v>
      </c>
      <c r="F43">
        <v>487</v>
      </c>
      <c r="G43">
        <v>0</v>
      </c>
      <c r="H43" t="s">
        <v>26</v>
      </c>
      <c r="I43" t="s">
        <v>27</v>
      </c>
      <c r="J43">
        <v>2014</v>
      </c>
      <c r="K43" t="s">
        <v>28</v>
      </c>
      <c r="L43" t="s">
        <v>220</v>
      </c>
      <c r="M43">
        <v>27000</v>
      </c>
      <c r="N43">
        <v>0</v>
      </c>
      <c r="O43">
        <v>27000</v>
      </c>
      <c r="P43">
        <v>0</v>
      </c>
      <c r="Q43">
        <v>0</v>
      </c>
      <c r="R43">
        <v>0</v>
      </c>
      <c r="S43">
        <v>54.970179999999999</v>
      </c>
      <c r="T43">
        <v>-2.08541</v>
      </c>
      <c r="U43">
        <v>45</v>
      </c>
      <c r="V43">
        <v>0.9</v>
      </c>
      <c r="W43">
        <f t="shared" si="0"/>
        <v>27000</v>
      </c>
    </row>
    <row r="44" spans="1:23" x14ac:dyDescent="0.35">
      <c r="A44" t="s">
        <v>58</v>
      </c>
      <c r="B44" t="s">
        <v>221</v>
      </c>
      <c r="C44" t="s">
        <v>222</v>
      </c>
      <c r="D44" t="s">
        <v>223</v>
      </c>
      <c r="E44" t="s">
        <v>224</v>
      </c>
      <c r="F44">
        <v>1500</v>
      </c>
      <c r="G44">
        <v>500</v>
      </c>
      <c r="H44" t="s">
        <v>34</v>
      </c>
      <c r="I44" t="s">
        <v>27</v>
      </c>
      <c r="J44">
        <v>2019</v>
      </c>
      <c r="K44" t="s">
        <v>35</v>
      </c>
      <c r="L44" t="s">
        <v>85</v>
      </c>
      <c r="M44">
        <v>75000</v>
      </c>
      <c r="N44">
        <v>0</v>
      </c>
      <c r="O44">
        <v>0</v>
      </c>
      <c r="P44">
        <v>75000</v>
      </c>
      <c r="Q44">
        <v>0</v>
      </c>
      <c r="R44">
        <v>0</v>
      </c>
      <c r="S44">
        <v>53.63503</v>
      </c>
      <c r="T44">
        <v>-0.46645999999999999</v>
      </c>
      <c r="U44">
        <v>45</v>
      </c>
      <c r="V44">
        <v>0.9</v>
      </c>
      <c r="W44">
        <f t="shared" si="0"/>
        <v>75000</v>
      </c>
    </row>
    <row r="45" spans="1:23" x14ac:dyDescent="0.35">
      <c r="A45" t="s">
        <v>76</v>
      </c>
      <c r="B45" t="s">
        <v>225</v>
      </c>
      <c r="C45" t="s">
        <v>226</v>
      </c>
      <c r="D45" t="s">
        <v>227</v>
      </c>
      <c r="E45" t="s">
        <v>228</v>
      </c>
      <c r="F45">
        <v>2200</v>
      </c>
      <c r="G45">
        <v>550</v>
      </c>
      <c r="H45" t="s">
        <v>34</v>
      </c>
      <c r="I45" t="s">
        <v>27</v>
      </c>
      <c r="J45">
        <v>2016</v>
      </c>
      <c r="K45" t="s">
        <v>28</v>
      </c>
      <c r="L45" t="s">
        <v>229</v>
      </c>
      <c r="M45">
        <v>38000</v>
      </c>
      <c r="N45">
        <v>29000</v>
      </c>
      <c r="O45">
        <v>9000</v>
      </c>
      <c r="P45">
        <v>0</v>
      </c>
      <c r="Q45">
        <v>0</v>
      </c>
      <c r="R45">
        <v>0</v>
      </c>
      <c r="S45">
        <v>50.873510000000003</v>
      </c>
      <c r="T45">
        <v>-0.84899999999999998</v>
      </c>
      <c r="U45">
        <v>45</v>
      </c>
      <c r="V45">
        <v>0.9</v>
      </c>
      <c r="W45">
        <f t="shared" si="0"/>
        <v>38000</v>
      </c>
    </row>
    <row r="46" spans="1:23" x14ac:dyDescent="0.35">
      <c r="A46" t="s">
        <v>102</v>
      </c>
      <c r="B46" t="s">
        <v>103</v>
      </c>
      <c r="C46" t="s">
        <v>230</v>
      </c>
      <c r="D46" t="s">
        <v>231</v>
      </c>
      <c r="E46" t="s">
        <v>232</v>
      </c>
      <c r="F46">
        <v>465</v>
      </c>
      <c r="G46">
        <v>0</v>
      </c>
      <c r="H46" t="s">
        <v>26</v>
      </c>
      <c r="I46" t="s">
        <v>27</v>
      </c>
      <c r="J46">
        <v>2014</v>
      </c>
      <c r="K46" t="s">
        <v>28</v>
      </c>
      <c r="L46" t="s">
        <v>233</v>
      </c>
      <c r="M46">
        <v>28000</v>
      </c>
      <c r="N46">
        <v>28000</v>
      </c>
      <c r="O46">
        <v>0</v>
      </c>
      <c r="P46">
        <v>0</v>
      </c>
      <c r="Q46">
        <v>0</v>
      </c>
      <c r="R46">
        <v>0</v>
      </c>
      <c r="S46">
        <v>54.762210000000003</v>
      </c>
      <c r="T46">
        <v>-4.4299799000000002</v>
      </c>
      <c r="U46">
        <v>45</v>
      </c>
      <c r="V46">
        <v>0.9</v>
      </c>
      <c r="W46">
        <f t="shared" si="0"/>
        <v>28000</v>
      </c>
    </row>
    <row r="47" spans="1:23" x14ac:dyDescent="0.35">
      <c r="A47" t="s">
        <v>48</v>
      </c>
      <c r="B47" t="s">
        <v>234</v>
      </c>
      <c r="C47" t="s">
        <v>235</v>
      </c>
      <c r="D47" t="s">
        <v>236</v>
      </c>
      <c r="E47" t="s">
        <v>237</v>
      </c>
      <c r="F47">
        <v>11800</v>
      </c>
      <c r="G47">
        <v>500</v>
      </c>
      <c r="H47" t="s">
        <v>26</v>
      </c>
      <c r="I47" t="s">
        <v>27</v>
      </c>
      <c r="J47">
        <v>2017</v>
      </c>
      <c r="K47" t="s">
        <v>35</v>
      </c>
      <c r="L47" t="s">
        <v>85</v>
      </c>
      <c r="M47">
        <v>52000</v>
      </c>
      <c r="N47">
        <v>0</v>
      </c>
      <c r="O47">
        <v>0</v>
      </c>
      <c r="P47">
        <v>52000</v>
      </c>
      <c r="Q47">
        <v>0</v>
      </c>
      <c r="R47">
        <v>0</v>
      </c>
      <c r="S47">
        <v>53.779739999999997</v>
      </c>
      <c r="T47">
        <v>-0.66520999999999997</v>
      </c>
      <c r="U47">
        <v>45</v>
      </c>
      <c r="V47">
        <v>0.9</v>
      </c>
      <c r="W47">
        <f t="shared" si="0"/>
        <v>52000</v>
      </c>
    </row>
    <row r="48" spans="1:23" x14ac:dyDescent="0.35">
      <c r="A48" t="s">
        <v>163</v>
      </c>
      <c r="B48" t="s">
        <v>164</v>
      </c>
      <c r="C48" t="s">
        <v>238</v>
      </c>
      <c r="D48" t="s">
        <v>239</v>
      </c>
      <c r="E48" t="s">
        <v>240</v>
      </c>
      <c r="F48">
        <v>500</v>
      </c>
      <c r="G48">
        <v>550</v>
      </c>
      <c r="H48" t="s">
        <v>34</v>
      </c>
      <c r="I48" t="s">
        <v>27</v>
      </c>
      <c r="J48">
        <v>2016</v>
      </c>
      <c r="K48" t="s">
        <v>28</v>
      </c>
      <c r="L48" t="s">
        <v>241</v>
      </c>
      <c r="M48">
        <v>20000</v>
      </c>
      <c r="N48">
        <v>6000</v>
      </c>
      <c r="O48">
        <v>14000</v>
      </c>
      <c r="P48">
        <v>0</v>
      </c>
      <c r="Q48">
        <v>0</v>
      </c>
      <c r="R48">
        <v>0</v>
      </c>
      <c r="S48">
        <v>51.391039900000003</v>
      </c>
      <c r="T48">
        <v>-2.0384099999999998</v>
      </c>
      <c r="U48">
        <v>45</v>
      </c>
      <c r="V48">
        <v>0.9</v>
      </c>
      <c r="W48">
        <f t="shared" si="0"/>
        <v>20000</v>
      </c>
    </row>
    <row r="49" spans="1:23" x14ac:dyDescent="0.35">
      <c r="A49" t="s">
        <v>22</v>
      </c>
      <c r="B49" t="s">
        <v>242</v>
      </c>
      <c r="C49" t="s">
        <v>243</v>
      </c>
      <c r="D49" t="s">
        <v>244</v>
      </c>
      <c r="E49" t="s">
        <v>245</v>
      </c>
      <c r="F49">
        <v>1300</v>
      </c>
      <c r="G49">
        <v>0</v>
      </c>
      <c r="H49" t="s">
        <v>26</v>
      </c>
      <c r="I49" t="s">
        <v>27</v>
      </c>
      <c r="J49">
        <v>2010</v>
      </c>
      <c r="K49" t="s">
        <v>35</v>
      </c>
      <c r="L49" t="s">
        <v>246</v>
      </c>
      <c r="M49">
        <v>30000</v>
      </c>
      <c r="N49">
        <v>1000</v>
      </c>
      <c r="O49">
        <v>1250</v>
      </c>
      <c r="P49">
        <v>27750</v>
      </c>
      <c r="Q49">
        <v>0</v>
      </c>
      <c r="R49">
        <v>0</v>
      </c>
      <c r="S49">
        <v>52.774810000000002</v>
      </c>
      <c r="T49">
        <v>-2.28172</v>
      </c>
      <c r="U49">
        <v>45</v>
      </c>
      <c r="V49">
        <v>0.9</v>
      </c>
      <c r="W49">
        <f t="shared" si="0"/>
        <v>30000</v>
      </c>
    </row>
    <row r="50" spans="1:23" x14ac:dyDescent="0.35">
      <c r="A50" t="s">
        <v>76</v>
      </c>
      <c r="B50" t="s">
        <v>225</v>
      </c>
      <c r="C50" t="s">
        <v>247</v>
      </c>
      <c r="D50" t="s">
        <v>248</v>
      </c>
      <c r="E50" t="s">
        <v>249</v>
      </c>
      <c r="F50">
        <v>4200</v>
      </c>
      <c r="G50">
        <v>0</v>
      </c>
      <c r="H50" t="s">
        <v>26</v>
      </c>
      <c r="I50" t="s">
        <v>27</v>
      </c>
      <c r="J50">
        <v>2017</v>
      </c>
      <c r="K50" t="s">
        <v>35</v>
      </c>
      <c r="L50" t="s">
        <v>53</v>
      </c>
      <c r="M50">
        <v>90000</v>
      </c>
      <c r="N50">
        <v>0</v>
      </c>
      <c r="O50">
        <v>0</v>
      </c>
      <c r="P50">
        <v>54000</v>
      </c>
      <c r="Q50">
        <v>0</v>
      </c>
      <c r="R50">
        <v>36000</v>
      </c>
      <c r="S50">
        <v>51.109025850000002</v>
      </c>
      <c r="T50">
        <v>-0.31464530000000002</v>
      </c>
      <c r="U50">
        <v>45</v>
      </c>
      <c r="V50">
        <v>0.9</v>
      </c>
      <c r="W50">
        <f t="shared" si="0"/>
        <v>90000</v>
      </c>
    </row>
    <row r="51" spans="1:23" x14ac:dyDescent="0.35">
      <c r="A51" t="s">
        <v>58</v>
      </c>
      <c r="B51" t="s">
        <v>250</v>
      </c>
      <c r="C51" t="s">
        <v>251</v>
      </c>
      <c r="D51" t="s">
        <v>252</v>
      </c>
      <c r="E51" t="s">
        <v>253</v>
      </c>
      <c r="F51">
        <v>236.5</v>
      </c>
      <c r="G51">
        <v>0</v>
      </c>
      <c r="H51" t="s">
        <v>26</v>
      </c>
      <c r="I51" t="s">
        <v>27</v>
      </c>
      <c r="J51">
        <v>2014</v>
      </c>
      <c r="K51" t="s">
        <v>28</v>
      </c>
      <c r="L51" t="s">
        <v>254</v>
      </c>
      <c r="M51">
        <v>14600</v>
      </c>
      <c r="N51">
        <v>12000</v>
      </c>
      <c r="O51">
        <v>1300</v>
      </c>
      <c r="P51">
        <v>0</v>
      </c>
      <c r="Q51">
        <v>0</v>
      </c>
      <c r="R51">
        <v>1300</v>
      </c>
      <c r="S51">
        <v>53.107760300000002</v>
      </c>
      <c r="T51">
        <v>-1.42408215</v>
      </c>
      <c r="U51">
        <v>45</v>
      </c>
      <c r="V51">
        <v>0.9</v>
      </c>
      <c r="W51">
        <f t="shared" si="0"/>
        <v>14600</v>
      </c>
    </row>
    <row r="52" spans="1:23" x14ac:dyDescent="0.35">
      <c r="A52" t="s">
        <v>22</v>
      </c>
      <c r="B52" t="s">
        <v>23</v>
      </c>
      <c r="C52" t="s">
        <v>255</v>
      </c>
      <c r="D52" t="s">
        <v>256</v>
      </c>
      <c r="E52" t="s">
        <v>257</v>
      </c>
      <c r="F52">
        <v>8700</v>
      </c>
      <c r="G52">
        <v>0</v>
      </c>
      <c r="H52" t="s">
        <v>26</v>
      </c>
      <c r="I52" t="s">
        <v>27</v>
      </c>
      <c r="J52">
        <v>2015</v>
      </c>
      <c r="K52" t="s">
        <v>35</v>
      </c>
      <c r="L52" t="s">
        <v>258</v>
      </c>
      <c r="M52">
        <v>25000</v>
      </c>
      <c r="N52">
        <v>3000</v>
      </c>
      <c r="O52">
        <v>9500</v>
      </c>
      <c r="P52">
        <v>12500</v>
      </c>
      <c r="Q52">
        <v>0</v>
      </c>
      <c r="R52">
        <v>0</v>
      </c>
      <c r="S52">
        <v>52.964669999999998</v>
      </c>
      <c r="T52">
        <v>-2.6591399999999998</v>
      </c>
      <c r="U52">
        <v>45</v>
      </c>
      <c r="V52">
        <v>0.9</v>
      </c>
      <c r="W52">
        <f t="shared" si="0"/>
        <v>25000</v>
      </c>
    </row>
    <row r="53" spans="1:23" x14ac:dyDescent="0.35">
      <c r="A53" t="s">
        <v>64</v>
      </c>
      <c r="B53" t="s">
        <v>259</v>
      </c>
      <c r="C53" t="s">
        <v>260</v>
      </c>
      <c r="D53" t="s">
        <v>261</v>
      </c>
      <c r="E53" t="s">
        <v>262</v>
      </c>
      <c r="F53">
        <v>1400</v>
      </c>
      <c r="G53">
        <v>0</v>
      </c>
      <c r="H53" t="s">
        <v>26</v>
      </c>
      <c r="I53" t="s">
        <v>27</v>
      </c>
      <c r="J53">
        <v>2015</v>
      </c>
      <c r="K53" t="s">
        <v>35</v>
      </c>
      <c r="L53" t="s">
        <v>263</v>
      </c>
      <c r="M53">
        <v>35500</v>
      </c>
      <c r="N53">
        <v>15500</v>
      </c>
      <c r="O53">
        <v>0</v>
      </c>
      <c r="P53">
        <v>20000</v>
      </c>
      <c r="Q53">
        <v>0</v>
      </c>
      <c r="R53">
        <v>0</v>
      </c>
      <c r="S53">
        <v>51.664520000000003</v>
      </c>
      <c r="T53">
        <v>-3.2693300000000001</v>
      </c>
      <c r="U53">
        <v>45</v>
      </c>
      <c r="V53">
        <v>0.9</v>
      </c>
      <c r="W53">
        <f t="shared" si="0"/>
        <v>35500</v>
      </c>
    </row>
    <row r="54" spans="1:23" x14ac:dyDescent="0.35">
      <c r="A54" t="s">
        <v>22</v>
      </c>
      <c r="B54" t="s">
        <v>242</v>
      </c>
      <c r="C54" t="s">
        <v>264</v>
      </c>
      <c r="D54" t="s">
        <v>265</v>
      </c>
      <c r="E54" t="s">
        <v>266</v>
      </c>
      <c r="F54">
        <v>0</v>
      </c>
      <c r="G54">
        <v>80</v>
      </c>
      <c r="H54" t="s">
        <v>34</v>
      </c>
      <c r="I54" t="s">
        <v>27</v>
      </c>
      <c r="J54">
        <v>2008</v>
      </c>
      <c r="K54" t="s">
        <v>35</v>
      </c>
      <c r="L54" t="s">
        <v>267</v>
      </c>
      <c r="M54">
        <v>100000</v>
      </c>
      <c r="N54">
        <v>0</v>
      </c>
      <c r="O54">
        <v>0</v>
      </c>
      <c r="P54">
        <v>0</v>
      </c>
      <c r="Q54">
        <v>0</v>
      </c>
      <c r="R54">
        <v>100000</v>
      </c>
      <c r="S54">
        <v>52.801186000000001</v>
      </c>
      <c r="T54">
        <v>-1.6544882000000001</v>
      </c>
      <c r="U54">
        <v>45</v>
      </c>
      <c r="V54">
        <v>0.9</v>
      </c>
      <c r="W54">
        <f t="shared" si="0"/>
        <v>100000</v>
      </c>
    </row>
    <row r="55" spans="1:23" x14ac:dyDescent="0.35">
      <c r="A55" t="s">
        <v>30</v>
      </c>
      <c r="B55" t="s">
        <v>31</v>
      </c>
      <c r="C55" t="s">
        <v>268</v>
      </c>
      <c r="D55" t="s">
        <v>269</v>
      </c>
      <c r="E55" t="s">
        <v>270</v>
      </c>
      <c r="F55">
        <v>4800</v>
      </c>
      <c r="G55">
        <v>0</v>
      </c>
      <c r="H55" t="s">
        <v>26</v>
      </c>
      <c r="I55" t="s">
        <v>27</v>
      </c>
      <c r="J55">
        <v>2016</v>
      </c>
      <c r="K55" t="s">
        <v>35</v>
      </c>
      <c r="L55" t="s">
        <v>271</v>
      </c>
      <c r="M55">
        <v>97000</v>
      </c>
      <c r="N55">
        <v>0</v>
      </c>
      <c r="O55">
        <v>0</v>
      </c>
      <c r="P55">
        <v>0</v>
      </c>
      <c r="Q55">
        <v>0</v>
      </c>
      <c r="R55">
        <v>97000</v>
      </c>
      <c r="S55">
        <v>52.255152500000001</v>
      </c>
      <c r="T55">
        <v>0.72736009999999995</v>
      </c>
      <c r="U55">
        <v>45</v>
      </c>
      <c r="V55">
        <v>0.9</v>
      </c>
      <c r="W55">
        <f t="shared" si="0"/>
        <v>97000</v>
      </c>
    </row>
    <row r="56" spans="1:23" x14ac:dyDescent="0.35">
      <c r="A56" t="s">
        <v>30</v>
      </c>
      <c r="B56" t="s">
        <v>272</v>
      </c>
      <c r="C56" t="s">
        <v>273</v>
      </c>
      <c r="D56" t="s">
        <v>274</v>
      </c>
      <c r="E56" t="s">
        <v>275</v>
      </c>
      <c r="F56">
        <v>989</v>
      </c>
      <c r="G56">
        <v>0</v>
      </c>
      <c r="H56" t="s">
        <v>26</v>
      </c>
      <c r="I56" t="s">
        <v>27</v>
      </c>
      <c r="J56">
        <v>2012</v>
      </c>
      <c r="K56" t="s">
        <v>28</v>
      </c>
      <c r="L56" t="s">
        <v>276</v>
      </c>
      <c r="M56">
        <v>20000</v>
      </c>
      <c r="N56">
        <v>0</v>
      </c>
      <c r="O56">
        <v>20000</v>
      </c>
      <c r="P56">
        <v>0</v>
      </c>
      <c r="Q56">
        <v>0</v>
      </c>
      <c r="R56">
        <v>0</v>
      </c>
      <c r="S56">
        <v>51.947150000000001</v>
      </c>
      <c r="T56">
        <v>-4.8399999999999999E-2</v>
      </c>
      <c r="U56">
        <v>45</v>
      </c>
      <c r="V56">
        <v>0.9</v>
      </c>
      <c r="W56">
        <f t="shared" si="0"/>
        <v>20000</v>
      </c>
    </row>
    <row r="57" spans="1:23" x14ac:dyDescent="0.35">
      <c r="A57" t="s">
        <v>30</v>
      </c>
      <c r="B57" t="s">
        <v>272</v>
      </c>
      <c r="C57" t="s">
        <v>277</v>
      </c>
      <c r="D57" t="s">
        <v>278</v>
      </c>
      <c r="E57" t="s">
        <v>279</v>
      </c>
      <c r="F57">
        <v>2600</v>
      </c>
      <c r="G57">
        <v>0</v>
      </c>
      <c r="H57" t="s">
        <v>26</v>
      </c>
      <c r="I57" t="s">
        <v>27</v>
      </c>
      <c r="J57">
        <v>2014</v>
      </c>
      <c r="K57" t="s">
        <v>35</v>
      </c>
      <c r="L57" t="s">
        <v>85</v>
      </c>
      <c r="M57">
        <v>45000</v>
      </c>
      <c r="N57">
        <v>0</v>
      </c>
      <c r="O57">
        <v>0</v>
      </c>
      <c r="P57">
        <v>45000</v>
      </c>
      <c r="Q57">
        <v>0</v>
      </c>
      <c r="R57">
        <v>0</v>
      </c>
      <c r="S57">
        <v>51.999698899999999</v>
      </c>
      <c r="T57">
        <v>-0.13550005000000001</v>
      </c>
      <c r="U57">
        <v>45</v>
      </c>
      <c r="V57">
        <v>0.9</v>
      </c>
      <c r="W57">
        <f t="shared" si="0"/>
        <v>45000</v>
      </c>
    </row>
    <row r="58" spans="1:23" x14ac:dyDescent="0.35">
      <c r="A58" t="s">
        <v>102</v>
      </c>
      <c r="B58" t="s">
        <v>154</v>
      </c>
      <c r="C58" t="s">
        <v>280</v>
      </c>
      <c r="D58" t="s">
        <v>281</v>
      </c>
      <c r="E58" t="s">
        <v>282</v>
      </c>
      <c r="F58">
        <v>5500</v>
      </c>
      <c r="G58">
        <v>0</v>
      </c>
      <c r="H58" t="s">
        <v>26</v>
      </c>
      <c r="I58" t="s">
        <v>27</v>
      </c>
      <c r="J58">
        <v>2013</v>
      </c>
      <c r="K58" t="s">
        <v>35</v>
      </c>
      <c r="L58" t="s">
        <v>283</v>
      </c>
      <c r="M58">
        <v>90000</v>
      </c>
      <c r="N58">
        <v>0</v>
      </c>
      <c r="O58">
        <v>0</v>
      </c>
      <c r="P58">
        <v>0</v>
      </c>
      <c r="Q58">
        <v>0</v>
      </c>
      <c r="R58">
        <v>90000</v>
      </c>
      <c r="S58">
        <v>56.189450000000001</v>
      </c>
      <c r="T58">
        <v>-3.0569999999999999</v>
      </c>
      <c r="U58">
        <v>45</v>
      </c>
      <c r="V58">
        <v>0.9</v>
      </c>
      <c r="W58">
        <f t="shared" si="0"/>
        <v>90000</v>
      </c>
    </row>
    <row r="59" spans="1:23" x14ac:dyDescent="0.35">
      <c r="A59" t="s">
        <v>102</v>
      </c>
      <c r="B59" t="s">
        <v>154</v>
      </c>
      <c r="C59" t="s">
        <v>284</v>
      </c>
      <c r="D59" t="s">
        <v>285</v>
      </c>
      <c r="E59" t="s">
        <v>286</v>
      </c>
      <c r="F59">
        <v>485</v>
      </c>
      <c r="G59">
        <v>0</v>
      </c>
      <c r="H59" t="s">
        <v>26</v>
      </c>
      <c r="I59" t="s">
        <v>27</v>
      </c>
      <c r="J59">
        <v>2017</v>
      </c>
      <c r="K59" t="s">
        <v>28</v>
      </c>
      <c r="L59" t="s">
        <v>287</v>
      </c>
      <c r="M59">
        <v>18000</v>
      </c>
      <c r="N59">
        <v>12000</v>
      </c>
      <c r="O59">
        <v>6000</v>
      </c>
      <c r="P59">
        <v>0</v>
      </c>
      <c r="Q59">
        <v>0</v>
      </c>
      <c r="R59">
        <v>0</v>
      </c>
      <c r="S59">
        <v>55.551259999999999</v>
      </c>
      <c r="T59">
        <v>-2.6858</v>
      </c>
      <c r="U59">
        <v>45</v>
      </c>
      <c r="V59">
        <v>0.9</v>
      </c>
      <c r="W59">
        <f t="shared" si="0"/>
        <v>18000</v>
      </c>
    </row>
    <row r="60" spans="1:23" x14ac:dyDescent="0.35">
      <c r="A60" t="s">
        <v>30</v>
      </c>
      <c r="B60" t="s">
        <v>288</v>
      </c>
      <c r="C60" t="s">
        <v>289</v>
      </c>
      <c r="D60" t="s">
        <v>290</v>
      </c>
      <c r="E60" t="s">
        <v>291</v>
      </c>
      <c r="F60">
        <v>500</v>
      </c>
      <c r="G60">
        <v>500</v>
      </c>
      <c r="H60" t="s">
        <v>34</v>
      </c>
      <c r="I60" t="s">
        <v>27</v>
      </c>
      <c r="J60">
        <v>2016</v>
      </c>
      <c r="K60" t="s">
        <v>28</v>
      </c>
      <c r="L60" t="s">
        <v>292</v>
      </c>
      <c r="M60">
        <v>40000</v>
      </c>
      <c r="N60">
        <v>10000</v>
      </c>
      <c r="O60">
        <v>24000</v>
      </c>
      <c r="P60">
        <v>0</v>
      </c>
      <c r="Q60">
        <v>6000</v>
      </c>
      <c r="R60">
        <v>0</v>
      </c>
      <c r="S60">
        <v>52.436909999999997</v>
      </c>
      <c r="T60">
        <v>0.89749999999999996</v>
      </c>
      <c r="U60">
        <v>45</v>
      </c>
      <c r="V60">
        <v>0.9</v>
      </c>
      <c r="W60">
        <f t="shared" si="0"/>
        <v>40000</v>
      </c>
    </row>
    <row r="61" spans="1:23" x14ac:dyDescent="0.35">
      <c r="A61" t="s">
        <v>163</v>
      </c>
      <c r="B61" t="s">
        <v>293</v>
      </c>
      <c r="C61" t="s">
        <v>294</v>
      </c>
      <c r="D61" t="s">
        <v>295</v>
      </c>
      <c r="E61" t="s">
        <v>296</v>
      </c>
      <c r="F61">
        <v>1265</v>
      </c>
      <c r="G61">
        <v>550</v>
      </c>
      <c r="H61" t="s">
        <v>34</v>
      </c>
      <c r="I61" t="s">
        <v>27</v>
      </c>
      <c r="J61">
        <v>2009</v>
      </c>
      <c r="K61" t="s">
        <v>35</v>
      </c>
      <c r="L61" t="s">
        <v>85</v>
      </c>
      <c r="M61">
        <v>72000</v>
      </c>
      <c r="N61">
        <v>0</v>
      </c>
      <c r="O61">
        <v>0</v>
      </c>
      <c r="P61">
        <v>72000</v>
      </c>
      <c r="Q61">
        <v>0</v>
      </c>
      <c r="R61">
        <v>0</v>
      </c>
      <c r="S61">
        <v>51.144080000000002</v>
      </c>
      <c r="T61">
        <v>-3.0998700000000001</v>
      </c>
      <c r="U61">
        <v>45</v>
      </c>
      <c r="V61">
        <v>0.9</v>
      </c>
      <c r="W61">
        <f t="shared" si="0"/>
        <v>72000</v>
      </c>
    </row>
    <row r="62" spans="1:23" x14ac:dyDescent="0.35">
      <c r="A62" t="s">
        <v>64</v>
      </c>
      <c r="B62" t="s">
        <v>259</v>
      </c>
      <c r="C62" t="s">
        <v>297</v>
      </c>
      <c r="D62" t="s">
        <v>298</v>
      </c>
      <c r="E62" t="s">
        <v>299</v>
      </c>
      <c r="F62">
        <v>2000</v>
      </c>
      <c r="G62">
        <v>0</v>
      </c>
      <c r="H62" t="s">
        <v>26</v>
      </c>
      <c r="I62" t="s">
        <v>27</v>
      </c>
      <c r="J62">
        <v>2016</v>
      </c>
      <c r="K62" t="s">
        <v>35</v>
      </c>
      <c r="L62" t="s">
        <v>85</v>
      </c>
      <c r="M62">
        <v>35000</v>
      </c>
      <c r="N62">
        <v>0</v>
      </c>
      <c r="O62">
        <v>0</v>
      </c>
      <c r="P62">
        <v>35000</v>
      </c>
      <c r="Q62">
        <v>0</v>
      </c>
      <c r="R62">
        <v>0</v>
      </c>
      <c r="S62">
        <v>51.477149799999999</v>
      </c>
      <c r="T62">
        <v>-3.1370985</v>
      </c>
      <c r="U62">
        <v>45</v>
      </c>
      <c r="V62">
        <v>0.9</v>
      </c>
      <c r="W62">
        <f t="shared" si="0"/>
        <v>35000</v>
      </c>
    </row>
    <row r="63" spans="1:23" x14ac:dyDescent="0.35">
      <c r="A63" t="s">
        <v>76</v>
      </c>
      <c r="B63" t="s">
        <v>300</v>
      </c>
      <c r="C63" t="s">
        <v>277</v>
      </c>
      <c r="D63" t="s">
        <v>301</v>
      </c>
      <c r="E63" t="s">
        <v>302</v>
      </c>
      <c r="F63">
        <v>1500</v>
      </c>
      <c r="G63">
        <v>0</v>
      </c>
      <c r="H63" t="s">
        <v>26</v>
      </c>
      <c r="I63" t="s">
        <v>27</v>
      </c>
      <c r="J63">
        <v>2013</v>
      </c>
      <c r="K63" t="s">
        <v>35</v>
      </c>
      <c r="L63" t="s">
        <v>303</v>
      </c>
      <c r="M63">
        <v>40000</v>
      </c>
      <c r="N63">
        <v>10000</v>
      </c>
      <c r="O63">
        <v>0</v>
      </c>
      <c r="P63">
        <v>30000</v>
      </c>
      <c r="Q63">
        <v>0</v>
      </c>
      <c r="R63">
        <v>0</v>
      </c>
      <c r="S63">
        <v>51.222839999999998</v>
      </c>
      <c r="T63">
        <v>-1.1356900000000001</v>
      </c>
      <c r="U63">
        <v>45</v>
      </c>
      <c r="V63">
        <v>0.9</v>
      </c>
      <c r="W63">
        <f t="shared" si="0"/>
        <v>40000</v>
      </c>
    </row>
    <row r="64" spans="1:23" x14ac:dyDescent="0.35">
      <c r="A64" t="s">
        <v>58</v>
      </c>
      <c r="B64" t="s">
        <v>59</v>
      </c>
      <c r="C64" t="s">
        <v>304</v>
      </c>
      <c r="D64" t="s">
        <v>305</v>
      </c>
      <c r="E64" t="s">
        <v>306</v>
      </c>
      <c r="F64">
        <v>2972</v>
      </c>
      <c r="G64">
        <v>0</v>
      </c>
      <c r="H64" t="s">
        <v>26</v>
      </c>
      <c r="I64" t="s">
        <v>27</v>
      </c>
      <c r="J64">
        <v>2015</v>
      </c>
      <c r="K64" t="s">
        <v>28</v>
      </c>
      <c r="L64" t="s">
        <v>307</v>
      </c>
      <c r="M64">
        <v>55000</v>
      </c>
      <c r="N64">
        <v>0</v>
      </c>
      <c r="O64">
        <v>55000</v>
      </c>
      <c r="P64">
        <v>0</v>
      </c>
      <c r="Q64">
        <v>0</v>
      </c>
      <c r="R64">
        <v>0</v>
      </c>
      <c r="S64">
        <v>53.070770000000003</v>
      </c>
      <c r="T64">
        <v>-4.8300000000000003E-2</v>
      </c>
      <c r="U64">
        <v>45</v>
      </c>
      <c r="V64">
        <v>0.9</v>
      </c>
      <c r="W64">
        <f t="shared" si="0"/>
        <v>55000</v>
      </c>
    </row>
    <row r="65" spans="1:23" x14ac:dyDescent="0.35">
      <c r="A65" t="s">
        <v>76</v>
      </c>
      <c r="B65" t="s">
        <v>120</v>
      </c>
      <c r="C65" t="s">
        <v>308</v>
      </c>
      <c r="D65" t="s">
        <v>309</v>
      </c>
      <c r="E65" t="s">
        <v>310</v>
      </c>
      <c r="F65">
        <v>2100</v>
      </c>
      <c r="G65">
        <v>0</v>
      </c>
      <c r="H65" t="s">
        <v>26</v>
      </c>
      <c r="I65" t="s">
        <v>27</v>
      </c>
      <c r="J65">
        <v>2010</v>
      </c>
      <c r="K65" t="s">
        <v>35</v>
      </c>
      <c r="L65" t="s">
        <v>85</v>
      </c>
      <c r="M65">
        <v>50000</v>
      </c>
      <c r="N65">
        <v>0</v>
      </c>
      <c r="O65">
        <v>0</v>
      </c>
      <c r="P65">
        <v>50000</v>
      </c>
      <c r="Q65">
        <v>0</v>
      </c>
      <c r="R65">
        <v>0</v>
      </c>
      <c r="S65">
        <v>51.798374000000003</v>
      </c>
      <c r="T65">
        <v>-1.3181339999999999</v>
      </c>
      <c r="U65">
        <v>45</v>
      </c>
      <c r="V65">
        <v>0.9</v>
      </c>
      <c r="W65">
        <f t="shared" si="0"/>
        <v>50000</v>
      </c>
    </row>
    <row r="66" spans="1:23" x14ac:dyDescent="0.35">
      <c r="A66" t="s">
        <v>30</v>
      </c>
      <c r="B66" t="s">
        <v>272</v>
      </c>
      <c r="C66" t="s">
        <v>311</v>
      </c>
      <c r="D66" t="s">
        <v>312</v>
      </c>
      <c r="E66" t="s">
        <v>313</v>
      </c>
      <c r="F66">
        <v>1500</v>
      </c>
      <c r="G66">
        <v>0</v>
      </c>
      <c r="H66" t="s">
        <v>26</v>
      </c>
      <c r="I66" t="s">
        <v>27</v>
      </c>
      <c r="J66">
        <v>2015</v>
      </c>
      <c r="K66" t="s">
        <v>35</v>
      </c>
      <c r="L66" t="s">
        <v>85</v>
      </c>
      <c r="M66">
        <v>27000</v>
      </c>
      <c r="N66">
        <v>0</v>
      </c>
      <c r="O66">
        <v>0</v>
      </c>
      <c r="P66">
        <v>27000</v>
      </c>
      <c r="Q66">
        <v>0</v>
      </c>
      <c r="R66">
        <v>0</v>
      </c>
      <c r="S66">
        <v>51.6905</v>
      </c>
      <c r="T66">
        <v>-0.12060999999999999</v>
      </c>
      <c r="U66">
        <v>45</v>
      </c>
      <c r="V66">
        <v>0.9</v>
      </c>
      <c r="W66">
        <f t="shared" si="0"/>
        <v>27000</v>
      </c>
    </row>
    <row r="67" spans="1:23" x14ac:dyDescent="0.35">
      <c r="A67" t="s">
        <v>48</v>
      </c>
      <c r="B67" t="s">
        <v>221</v>
      </c>
      <c r="C67" t="s">
        <v>314</v>
      </c>
      <c r="D67" t="s">
        <v>315</v>
      </c>
      <c r="E67" t="s">
        <v>316</v>
      </c>
      <c r="F67">
        <v>800</v>
      </c>
      <c r="G67">
        <v>0</v>
      </c>
      <c r="H67" t="s">
        <v>26</v>
      </c>
      <c r="I67" t="s">
        <v>27</v>
      </c>
      <c r="J67">
        <v>2019</v>
      </c>
      <c r="K67" t="s">
        <v>35</v>
      </c>
      <c r="L67" t="s">
        <v>85</v>
      </c>
      <c r="M67">
        <v>25000</v>
      </c>
      <c r="N67">
        <v>0</v>
      </c>
      <c r="O67">
        <v>0</v>
      </c>
      <c r="P67">
        <v>25000</v>
      </c>
      <c r="Q67">
        <v>0</v>
      </c>
      <c r="R67">
        <v>0</v>
      </c>
      <c r="S67">
        <v>53.620024100000002</v>
      </c>
      <c r="T67">
        <v>-0.66199629999999998</v>
      </c>
      <c r="U67">
        <v>45</v>
      </c>
      <c r="V67">
        <v>0.9</v>
      </c>
      <c r="W67">
        <f t="shared" ref="W67:W130" si="1">M67</f>
        <v>25000</v>
      </c>
    </row>
    <row r="68" spans="1:23" x14ac:dyDescent="0.35">
      <c r="A68" t="s">
        <v>30</v>
      </c>
      <c r="B68" t="s">
        <v>31</v>
      </c>
      <c r="C68" t="s">
        <v>317</v>
      </c>
      <c r="D68" t="s">
        <v>318</v>
      </c>
      <c r="E68" t="s">
        <v>319</v>
      </c>
      <c r="F68">
        <v>500</v>
      </c>
      <c r="G68">
        <v>0</v>
      </c>
      <c r="H68" t="s">
        <v>26</v>
      </c>
      <c r="I68" t="s">
        <v>27</v>
      </c>
      <c r="J68">
        <v>2015</v>
      </c>
      <c r="K68" t="s">
        <v>35</v>
      </c>
      <c r="L68" t="s">
        <v>320</v>
      </c>
      <c r="M68">
        <v>68500</v>
      </c>
      <c r="N68">
        <v>0</v>
      </c>
      <c r="O68">
        <v>0</v>
      </c>
      <c r="P68">
        <v>0</v>
      </c>
      <c r="Q68">
        <v>0</v>
      </c>
      <c r="R68">
        <v>68500</v>
      </c>
      <c r="S68">
        <v>52.176160199999998</v>
      </c>
      <c r="T68">
        <v>1.0174524</v>
      </c>
      <c r="U68">
        <v>45</v>
      </c>
      <c r="V68">
        <v>0.9</v>
      </c>
      <c r="W68">
        <f t="shared" si="1"/>
        <v>68500</v>
      </c>
    </row>
    <row r="69" spans="1:23" x14ac:dyDescent="0.35">
      <c r="A69" t="s">
        <v>102</v>
      </c>
      <c r="B69" t="s">
        <v>103</v>
      </c>
      <c r="C69" t="s">
        <v>321</v>
      </c>
      <c r="D69" t="s">
        <v>322</v>
      </c>
      <c r="E69" t="s">
        <v>323</v>
      </c>
      <c r="F69">
        <v>475</v>
      </c>
      <c r="G69">
        <v>0</v>
      </c>
      <c r="H69" t="s">
        <v>26</v>
      </c>
      <c r="I69" t="s">
        <v>27</v>
      </c>
      <c r="J69">
        <v>2015</v>
      </c>
      <c r="K69" t="s">
        <v>28</v>
      </c>
      <c r="L69" t="s">
        <v>324</v>
      </c>
      <c r="M69">
        <v>11200</v>
      </c>
      <c r="N69">
        <v>200</v>
      </c>
      <c r="O69">
        <v>11000</v>
      </c>
      <c r="P69">
        <v>0</v>
      </c>
      <c r="Q69">
        <v>0</v>
      </c>
      <c r="R69">
        <v>0</v>
      </c>
      <c r="S69">
        <v>55.01661</v>
      </c>
      <c r="T69">
        <v>-3.32321</v>
      </c>
      <c r="U69">
        <v>45</v>
      </c>
      <c r="V69">
        <v>0.9</v>
      </c>
      <c r="W69">
        <f t="shared" si="1"/>
        <v>11200</v>
      </c>
    </row>
    <row r="70" spans="1:23" x14ac:dyDescent="0.35">
      <c r="A70" t="s">
        <v>102</v>
      </c>
      <c r="B70" t="s">
        <v>154</v>
      </c>
      <c r="C70" t="s">
        <v>325</v>
      </c>
      <c r="D70" t="s">
        <v>326</v>
      </c>
      <c r="E70" t="s">
        <v>327</v>
      </c>
      <c r="F70">
        <v>3000</v>
      </c>
      <c r="G70">
        <v>550</v>
      </c>
      <c r="H70" t="s">
        <v>34</v>
      </c>
      <c r="I70" t="s">
        <v>27</v>
      </c>
      <c r="J70">
        <v>2015</v>
      </c>
      <c r="K70" t="s">
        <v>28</v>
      </c>
      <c r="L70" t="s">
        <v>328</v>
      </c>
      <c r="M70">
        <v>36000</v>
      </c>
      <c r="N70">
        <v>0</v>
      </c>
      <c r="O70">
        <v>36000</v>
      </c>
      <c r="P70">
        <v>0</v>
      </c>
      <c r="Q70">
        <v>0</v>
      </c>
      <c r="R70">
        <v>0</v>
      </c>
      <c r="S70">
        <v>55.556443999999999</v>
      </c>
      <c r="T70">
        <v>-2.6567607999999998</v>
      </c>
      <c r="U70">
        <v>45</v>
      </c>
      <c r="V70">
        <v>0.9</v>
      </c>
      <c r="W70">
        <f t="shared" si="1"/>
        <v>36000</v>
      </c>
    </row>
    <row r="71" spans="1:23" x14ac:dyDescent="0.35">
      <c r="A71" t="s">
        <v>76</v>
      </c>
      <c r="B71" t="s">
        <v>329</v>
      </c>
      <c r="C71" t="s">
        <v>330</v>
      </c>
      <c r="D71" t="s">
        <v>331</v>
      </c>
      <c r="E71" t="s">
        <v>332</v>
      </c>
      <c r="F71">
        <v>1800</v>
      </c>
      <c r="G71">
        <v>0</v>
      </c>
      <c r="H71" t="s">
        <v>26</v>
      </c>
      <c r="I71" t="s">
        <v>27</v>
      </c>
      <c r="J71" t="s">
        <v>46</v>
      </c>
      <c r="K71" t="s">
        <v>35</v>
      </c>
      <c r="L71" t="s">
        <v>333</v>
      </c>
      <c r="M71">
        <v>40000</v>
      </c>
      <c r="N71">
        <v>0</v>
      </c>
      <c r="O71">
        <v>0</v>
      </c>
      <c r="P71">
        <v>24000</v>
      </c>
      <c r="Q71">
        <v>0</v>
      </c>
      <c r="R71">
        <v>16000</v>
      </c>
      <c r="S71">
        <v>51.40690983333333</v>
      </c>
      <c r="T71">
        <v>-0.44269186666666671</v>
      </c>
      <c r="U71">
        <v>45</v>
      </c>
      <c r="V71">
        <v>0.9</v>
      </c>
      <c r="W71">
        <f t="shared" si="1"/>
        <v>40000</v>
      </c>
    </row>
    <row r="72" spans="1:23" x14ac:dyDescent="0.35">
      <c r="A72" t="s">
        <v>163</v>
      </c>
      <c r="B72" t="s">
        <v>164</v>
      </c>
      <c r="C72" t="s">
        <v>334</v>
      </c>
      <c r="D72" t="s">
        <v>335</v>
      </c>
      <c r="E72" t="s">
        <v>336</v>
      </c>
      <c r="F72">
        <v>500</v>
      </c>
      <c r="G72">
        <v>750</v>
      </c>
      <c r="H72" t="s">
        <v>34</v>
      </c>
      <c r="I72" t="s">
        <v>27</v>
      </c>
      <c r="J72" t="s">
        <v>46</v>
      </c>
      <c r="K72" t="s">
        <v>28</v>
      </c>
      <c r="L72" t="s">
        <v>337</v>
      </c>
      <c r="M72">
        <v>51000</v>
      </c>
      <c r="N72">
        <v>8000</v>
      </c>
      <c r="O72">
        <v>43000</v>
      </c>
      <c r="P72">
        <v>0</v>
      </c>
      <c r="Q72">
        <v>0</v>
      </c>
      <c r="R72">
        <v>0</v>
      </c>
      <c r="S72">
        <v>51.604030000000002</v>
      </c>
      <c r="T72">
        <v>-2.1115499999999998</v>
      </c>
      <c r="U72">
        <v>45</v>
      </c>
      <c r="V72">
        <v>0.9</v>
      </c>
      <c r="W72">
        <f t="shared" si="1"/>
        <v>51000</v>
      </c>
    </row>
    <row r="73" spans="1:23" x14ac:dyDescent="0.35">
      <c r="A73" t="s">
        <v>30</v>
      </c>
      <c r="B73" t="s">
        <v>338</v>
      </c>
      <c r="C73" t="s">
        <v>339</v>
      </c>
      <c r="D73" t="s">
        <v>340</v>
      </c>
      <c r="E73" t="s">
        <v>341</v>
      </c>
      <c r="F73">
        <v>500</v>
      </c>
      <c r="G73">
        <v>0</v>
      </c>
      <c r="H73" t="s">
        <v>26</v>
      </c>
      <c r="I73" t="s">
        <v>27</v>
      </c>
      <c r="J73">
        <v>2016</v>
      </c>
      <c r="K73" t="s">
        <v>35</v>
      </c>
      <c r="L73" t="s">
        <v>342</v>
      </c>
      <c r="M73">
        <v>10950</v>
      </c>
      <c r="N73">
        <v>0</v>
      </c>
      <c r="O73">
        <v>0</v>
      </c>
      <c r="P73">
        <v>10950</v>
      </c>
      <c r="Q73">
        <v>0</v>
      </c>
      <c r="R73">
        <v>0</v>
      </c>
      <c r="S73">
        <v>52.047556</v>
      </c>
      <c r="T73">
        <v>-0.36451840000000002</v>
      </c>
      <c r="U73">
        <v>45</v>
      </c>
      <c r="V73">
        <v>0.9</v>
      </c>
      <c r="W73">
        <f t="shared" si="1"/>
        <v>10950</v>
      </c>
    </row>
    <row r="74" spans="1:23" x14ac:dyDescent="0.35">
      <c r="A74" t="s">
        <v>58</v>
      </c>
      <c r="B74" t="s">
        <v>59</v>
      </c>
      <c r="C74" t="s">
        <v>343</v>
      </c>
      <c r="D74" t="s">
        <v>344</v>
      </c>
      <c r="E74" t="s">
        <v>345</v>
      </c>
      <c r="F74">
        <v>475</v>
      </c>
      <c r="G74">
        <v>0</v>
      </c>
      <c r="H74" t="s">
        <v>26</v>
      </c>
      <c r="I74" t="s">
        <v>27</v>
      </c>
      <c r="J74">
        <v>2014</v>
      </c>
      <c r="K74" t="s">
        <v>28</v>
      </c>
      <c r="L74" t="s">
        <v>346</v>
      </c>
      <c r="M74">
        <v>10500</v>
      </c>
      <c r="N74">
        <v>3500</v>
      </c>
      <c r="O74">
        <v>7000</v>
      </c>
      <c r="P74">
        <v>0</v>
      </c>
      <c r="Q74">
        <v>0</v>
      </c>
      <c r="R74">
        <v>0</v>
      </c>
      <c r="S74">
        <v>53.225250000000003</v>
      </c>
      <c r="T74">
        <v>-1.3610000000000001E-2</v>
      </c>
      <c r="U74">
        <v>45</v>
      </c>
      <c r="V74">
        <v>0.9</v>
      </c>
      <c r="W74">
        <f t="shared" si="1"/>
        <v>10500</v>
      </c>
    </row>
    <row r="75" spans="1:23" x14ac:dyDescent="0.35">
      <c r="A75" t="s">
        <v>102</v>
      </c>
      <c r="B75" t="s">
        <v>154</v>
      </c>
      <c r="C75" t="s">
        <v>347</v>
      </c>
      <c r="D75" t="s">
        <v>348</v>
      </c>
      <c r="E75" t="s">
        <v>349</v>
      </c>
      <c r="F75">
        <v>499</v>
      </c>
      <c r="G75">
        <v>0</v>
      </c>
      <c r="H75" t="s">
        <v>26</v>
      </c>
      <c r="I75" t="s">
        <v>27</v>
      </c>
      <c r="J75">
        <v>2014</v>
      </c>
      <c r="K75" t="s">
        <v>35</v>
      </c>
      <c r="L75" t="s">
        <v>350</v>
      </c>
      <c r="M75">
        <v>30000</v>
      </c>
      <c r="N75">
        <v>10000</v>
      </c>
      <c r="O75">
        <v>0</v>
      </c>
      <c r="P75">
        <v>0</v>
      </c>
      <c r="Q75">
        <v>0</v>
      </c>
      <c r="R75">
        <v>20000</v>
      </c>
      <c r="S75">
        <v>56.058999999999997</v>
      </c>
      <c r="T75">
        <v>-4.3256600000000001</v>
      </c>
      <c r="U75">
        <v>45</v>
      </c>
      <c r="V75">
        <v>0.9</v>
      </c>
      <c r="W75">
        <f t="shared" si="1"/>
        <v>30000</v>
      </c>
    </row>
    <row r="76" spans="1:23" x14ac:dyDescent="0.35">
      <c r="A76" t="s">
        <v>48</v>
      </c>
      <c r="B76" t="s">
        <v>351</v>
      </c>
      <c r="C76" t="s">
        <v>352</v>
      </c>
      <c r="D76" t="s">
        <v>352</v>
      </c>
      <c r="E76" t="s">
        <v>353</v>
      </c>
      <c r="F76">
        <v>944.5</v>
      </c>
      <c r="G76">
        <v>0</v>
      </c>
      <c r="H76" t="s">
        <v>26</v>
      </c>
      <c r="I76" t="s">
        <v>27</v>
      </c>
      <c r="J76">
        <v>2011</v>
      </c>
      <c r="K76" t="s">
        <v>35</v>
      </c>
      <c r="L76" t="s">
        <v>354</v>
      </c>
      <c r="M76">
        <v>20000</v>
      </c>
      <c r="N76">
        <v>2000</v>
      </c>
      <c r="O76">
        <v>4000</v>
      </c>
      <c r="P76">
        <v>0</v>
      </c>
      <c r="Q76">
        <v>0</v>
      </c>
      <c r="R76">
        <v>14000</v>
      </c>
      <c r="S76">
        <v>53.597729999999999</v>
      </c>
      <c r="T76">
        <v>-1.59494</v>
      </c>
      <c r="U76">
        <v>45</v>
      </c>
      <c r="V76">
        <v>0.9</v>
      </c>
      <c r="W76">
        <f t="shared" si="1"/>
        <v>20000</v>
      </c>
    </row>
    <row r="77" spans="1:23" x14ac:dyDescent="0.35">
      <c r="A77" t="s">
        <v>22</v>
      </c>
      <c r="B77" t="s">
        <v>242</v>
      </c>
      <c r="C77" t="s">
        <v>355</v>
      </c>
      <c r="D77" t="s">
        <v>356</v>
      </c>
      <c r="E77" t="s">
        <v>357</v>
      </c>
      <c r="F77">
        <v>475</v>
      </c>
      <c r="G77">
        <v>0</v>
      </c>
      <c r="H77" t="s">
        <v>26</v>
      </c>
      <c r="I77" t="s">
        <v>27</v>
      </c>
      <c r="J77">
        <v>2016</v>
      </c>
      <c r="K77" t="s">
        <v>28</v>
      </c>
      <c r="L77" t="s">
        <v>29</v>
      </c>
      <c r="M77">
        <v>10500</v>
      </c>
      <c r="N77">
        <v>3000</v>
      </c>
      <c r="O77">
        <v>7500</v>
      </c>
      <c r="P77">
        <v>0</v>
      </c>
      <c r="Q77">
        <v>0</v>
      </c>
      <c r="R77">
        <v>0</v>
      </c>
      <c r="S77">
        <v>52.687640000000002</v>
      </c>
      <c r="T77">
        <v>-1.6511</v>
      </c>
      <c r="U77">
        <v>45</v>
      </c>
      <c r="V77">
        <v>0.9</v>
      </c>
      <c r="W77">
        <f t="shared" si="1"/>
        <v>10500</v>
      </c>
    </row>
    <row r="78" spans="1:23" x14ac:dyDescent="0.35">
      <c r="A78" t="s">
        <v>163</v>
      </c>
      <c r="B78" t="s">
        <v>358</v>
      </c>
      <c r="C78" t="s">
        <v>359</v>
      </c>
      <c r="D78" t="s">
        <v>360</v>
      </c>
      <c r="E78" t="s">
        <v>361</v>
      </c>
      <c r="F78">
        <v>469.06</v>
      </c>
      <c r="G78">
        <v>0</v>
      </c>
      <c r="H78" t="s">
        <v>26</v>
      </c>
      <c r="I78" t="s">
        <v>27</v>
      </c>
      <c r="J78">
        <v>2014</v>
      </c>
      <c r="K78" t="s">
        <v>28</v>
      </c>
      <c r="L78" t="s">
        <v>362</v>
      </c>
      <c r="M78">
        <v>13000</v>
      </c>
      <c r="N78">
        <v>8000</v>
      </c>
      <c r="O78">
        <v>0</v>
      </c>
      <c r="P78">
        <v>0</v>
      </c>
      <c r="Q78">
        <v>2500</v>
      </c>
      <c r="R78">
        <v>2500</v>
      </c>
      <c r="S78">
        <v>50.794400000000003</v>
      </c>
      <c r="T78">
        <v>-3.3544900000000002</v>
      </c>
      <c r="U78">
        <v>45</v>
      </c>
      <c r="V78">
        <v>0.9</v>
      </c>
      <c r="W78">
        <f t="shared" si="1"/>
        <v>13000</v>
      </c>
    </row>
    <row r="79" spans="1:23" x14ac:dyDescent="0.35">
      <c r="A79" t="s">
        <v>70</v>
      </c>
      <c r="B79" t="s">
        <v>363</v>
      </c>
      <c r="C79" t="s">
        <v>364</v>
      </c>
      <c r="D79" t="s">
        <v>365</v>
      </c>
      <c r="E79" t="s">
        <v>366</v>
      </c>
      <c r="F79">
        <v>2800</v>
      </c>
      <c r="G79">
        <v>0</v>
      </c>
      <c r="H79" t="s">
        <v>26</v>
      </c>
      <c r="I79" t="s">
        <v>27</v>
      </c>
      <c r="J79">
        <v>2013</v>
      </c>
      <c r="K79" t="s">
        <v>35</v>
      </c>
      <c r="L79" t="s">
        <v>53</v>
      </c>
      <c r="M79">
        <v>35000</v>
      </c>
      <c r="N79">
        <v>0</v>
      </c>
      <c r="O79">
        <v>0</v>
      </c>
      <c r="P79">
        <v>21000</v>
      </c>
      <c r="Q79">
        <v>0</v>
      </c>
      <c r="R79">
        <v>14000</v>
      </c>
      <c r="S79">
        <v>53.496947300000002</v>
      </c>
      <c r="T79">
        <v>-2.2897289000000001</v>
      </c>
      <c r="U79">
        <v>45</v>
      </c>
      <c r="V79">
        <v>0.9</v>
      </c>
      <c r="W79">
        <f t="shared" si="1"/>
        <v>35000</v>
      </c>
    </row>
    <row r="80" spans="1:23" x14ac:dyDescent="0.35">
      <c r="A80" t="s">
        <v>163</v>
      </c>
      <c r="B80" t="s">
        <v>164</v>
      </c>
      <c r="C80" t="s">
        <v>367</v>
      </c>
      <c r="D80" t="s">
        <v>368</v>
      </c>
      <c r="E80" t="s">
        <v>369</v>
      </c>
      <c r="F80">
        <v>3800</v>
      </c>
      <c r="G80">
        <v>0</v>
      </c>
      <c r="H80" t="s">
        <v>26</v>
      </c>
      <c r="I80" t="s">
        <v>27</v>
      </c>
      <c r="J80">
        <v>2014</v>
      </c>
      <c r="K80" t="s">
        <v>35</v>
      </c>
      <c r="L80" t="s">
        <v>85</v>
      </c>
      <c r="M80">
        <v>100000</v>
      </c>
      <c r="N80">
        <v>0</v>
      </c>
      <c r="O80">
        <v>0</v>
      </c>
      <c r="P80">
        <v>100000</v>
      </c>
      <c r="Q80">
        <v>0</v>
      </c>
      <c r="R80">
        <v>0</v>
      </c>
      <c r="S80">
        <v>51.172139999999999</v>
      </c>
      <c r="T80">
        <v>-2.01525</v>
      </c>
      <c r="U80">
        <v>45</v>
      </c>
      <c r="V80">
        <v>0.9</v>
      </c>
      <c r="W80">
        <f t="shared" si="1"/>
        <v>100000</v>
      </c>
    </row>
    <row r="81" spans="1:23" x14ac:dyDescent="0.35">
      <c r="A81" t="s">
        <v>30</v>
      </c>
      <c r="B81" t="s">
        <v>43</v>
      </c>
      <c r="C81" t="s">
        <v>370</v>
      </c>
      <c r="D81" t="s">
        <v>371</v>
      </c>
      <c r="E81" t="s">
        <v>372</v>
      </c>
      <c r="F81">
        <v>4000</v>
      </c>
      <c r="G81">
        <v>390</v>
      </c>
      <c r="H81" t="s">
        <v>373</v>
      </c>
      <c r="I81" t="s">
        <v>27</v>
      </c>
      <c r="J81" t="s">
        <v>46</v>
      </c>
      <c r="K81" t="s">
        <v>28</v>
      </c>
      <c r="L81" t="s">
        <v>374</v>
      </c>
      <c r="M81">
        <v>29150</v>
      </c>
      <c r="N81">
        <v>22500</v>
      </c>
      <c r="O81">
        <v>0</v>
      </c>
      <c r="P81">
        <v>0</v>
      </c>
      <c r="Q81">
        <v>6650</v>
      </c>
      <c r="R81">
        <v>0</v>
      </c>
      <c r="S81">
        <v>52.5105</v>
      </c>
      <c r="T81">
        <v>0.20333000000000001</v>
      </c>
      <c r="U81">
        <v>45</v>
      </c>
      <c r="V81">
        <v>0.9</v>
      </c>
      <c r="W81">
        <f t="shared" si="1"/>
        <v>29150</v>
      </c>
    </row>
    <row r="82" spans="1:23" x14ac:dyDescent="0.35">
      <c r="A82" t="s">
        <v>58</v>
      </c>
      <c r="B82" t="s">
        <v>159</v>
      </c>
      <c r="C82" t="s">
        <v>375</v>
      </c>
      <c r="D82" t="s">
        <v>376</v>
      </c>
      <c r="E82" t="s">
        <v>377</v>
      </c>
      <c r="F82">
        <v>4999</v>
      </c>
      <c r="G82">
        <v>800</v>
      </c>
      <c r="H82" t="s">
        <v>34</v>
      </c>
      <c r="I82" t="s">
        <v>27</v>
      </c>
      <c r="J82">
        <v>2016</v>
      </c>
      <c r="K82" t="s">
        <v>35</v>
      </c>
      <c r="L82" t="s">
        <v>85</v>
      </c>
      <c r="M82">
        <v>150000</v>
      </c>
      <c r="N82">
        <v>0</v>
      </c>
      <c r="O82">
        <v>0</v>
      </c>
      <c r="P82">
        <v>100000</v>
      </c>
      <c r="Q82">
        <v>0</v>
      </c>
      <c r="R82">
        <v>0</v>
      </c>
      <c r="S82">
        <v>52.953389999999999</v>
      </c>
      <c r="T82">
        <v>-1.0602799000000001</v>
      </c>
      <c r="U82">
        <v>45</v>
      </c>
      <c r="V82">
        <v>0.9</v>
      </c>
      <c r="W82">
        <f t="shared" si="1"/>
        <v>150000</v>
      </c>
    </row>
    <row r="83" spans="1:23" x14ac:dyDescent="0.35">
      <c r="A83" t="s">
        <v>37</v>
      </c>
      <c r="B83" t="s">
        <v>38</v>
      </c>
      <c r="C83" t="s">
        <v>378</v>
      </c>
      <c r="D83" t="s">
        <v>379</v>
      </c>
      <c r="E83" t="s">
        <v>380</v>
      </c>
      <c r="F83">
        <v>500</v>
      </c>
      <c r="G83">
        <v>0</v>
      </c>
      <c r="H83" t="s">
        <v>26</v>
      </c>
      <c r="I83" t="s">
        <v>27</v>
      </c>
      <c r="J83">
        <v>2016</v>
      </c>
      <c r="K83" t="s">
        <v>28</v>
      </c>
      <c r="L83" t="s">
        <v>381</v>
      </c>
      <c r="M83">
        <v>25000</v>
      </c>
      <c r="N83">
        <v>15000</v>
      </c>
      <c r="O83">
        <v>10000</v>
      </c>
      <c r="P83">
        <v>0</v>
      </c>
      <c r="Q83">
        <v>0</v>
      </c>
      <c r="R83">
        <v>0</v>
      </c>
      <c r="S83">
        <v>37.504677000000001</v>
      </c>
      <c r="T83">
        <v>126.89243140000001</v>
      </c>
      <c r="U83">
        <v>45</v>
      </c>
      <c r="V83">
        <v>0.9</v>
      </c>
      <c r="W83">
        <f t="shared" si="1"/>
        <v>25000</v>
      </c>
    </row>
    <row r="84" spans="1:23" x14ac:dyDescent="0.35">
      <c r="A84" t="s">
        <v>163</v>
      </c>
      <c r="B84" t="s">
        <v>358</v>
      </c>
      <c r="C84" t="s">
        <v>382</v>
      </c>
      <c r="D84" t="s">
        <v>383</v>
      </c>
      <c r="E84" t="s">
        <v>384</v>
      </c>
      <c r="F84">
        <v>500</v>
      </c>
      <c r="G84">
        <v>560</v>
      </c>
      <c r="H84" t="s">
        <v>34</v>
      </c>
      <c r="I84" t="s">
        <v>27</v>
      </c>
      <c r="J84">
        <v>2015</v>
      </c>
      <c r="K84" t="s">
        <v>28</v>
      </c>
      <c r="L84" t="s">
        <v>385</v>
      </c>
      <c r="M84">
        <v>66090</v>
      </c>
      <c r="N84">
        <v>7500</v>
      </c>
      <c r="O84">
        <v>58590</v>
      </c>
      <c r="P84">
        <v>0</v>
      </c>
      <c r="Q84">
        <v>0</v>
      </c>
      <c r="R84">
        <v>0</v>
      </c>
      <c r="S84">
        <v>51.006039999999999</v>
      </c>
      <c r="T84">
        <v>-3.8330000000000002</v>
      </c>
      <c r="U84">
        <v>45</v>
      </c>
      <c r="V84">
        <v>0.9</v>
      </c>
      <c r="W84">
        <f t="shared" si="1"/>
        <v>66090</v>
      </c>
    </row>
    <row r="85" spans="1:23" x14ac:dyDescent="0.35">
      <c r="A85" t="s">
        <v>215</v>
      </c>
      <c r="B85" t="s">
        <v>386</v>
      </c>
      <c r="C85" t="s">
        <v>387</v>
      </c>
      <c r="D85" t="s">
        <v>388</v>
      </c>
      <c r="E85" t="s">
        <v>389</v>
      </c>
      <c r="F85">
        <v>992</v>
      </c>
      <c r="G85">
        <v>0</v>
      </c>
      <c r="H85" t="s">
        <v>26</v>
      </c>
      <c r="I85" t="s">
        <v>27</v>
      </c>
      <c r="J85">
        <v>2014</v>
      </c>
      <c r="K85" t="s">
        <v>28</v>
      </c>
      <c r="L85" t="s">
        <v>390</v>
      </c>
      <c r="M85">
        <v>20000</v>
      </c>
      <c r="N85">
        <v>0</v>
      </c>
      <c r="O85">
        <v>20000</v>
      </c>
      <c r="P85">
        <v>0</v>
      </c>
      <c r="Q85">
        <v>0</v>
      </c>
      <c r="R85">
        <v>0</v>
      </c>
      <c r="S85">
        <v>54.853259999999999</v>
      </c>
      <c r="T85">
        <v>-1.81514</v>
      </c>
      <c r="U85">
        <v>45</v>
      </c>
      <c r="V85">
        <v>0.9</v>
      </c>
      <c r="W85">
        <f t="shared" si="1"/>
        <v>20000</v>
      </c>
    </row>
    <row r="86" spans="1:23" x14ac:dyDescent="0.35">
      <c r="A86" t="s">
        <v>64</v>
      </c>
      <c r="B86" t="s">
        <v>65</v>
      </c>
      <c r="C86" t="s">
        <v>391</v>
      </c>
      <c r="D86" t="s">
        <v>392</v>
      </c>
      <c r="E86" t="s">
        <v>393</v>
      </c>
      <c r="F86">
        <v>485.4</v>
      </c>
      <c r="G86">
        <v>0</v>
      </c>
      <c r="H86" t="s">
        <v>26</v>
      </c>
      <c r="I86" t="s">
        <v>27</v>
      </c>
      <c r="J86">
        <v>2016</v>
      </c>
      <c r="K86" t="s">
        <v>28</v>
      </c>
      <c r="L86" t="s">
        <v>394</v>
      </c>
      <c r="M86">
        <v>52195</v>
      </c>
      <c r="N86">
        <v>52195</v>
      </c>
      <c r="O86">
        <v>0</v>
      </c>
      <c r="P86">
        <v>0</v>
      </c>
      <c r="Q86">
        <v>0</v>
      </c>
      <c r="R86">
        <v>0</v>
      </c>
      <c r="S86">
        <v>51.80162</v>
      </c>
      <c r="T86">
        <v>-4.4145099999999999</v>
      </c>
      <c r="U86">
        <v>45</v>
      </c>
      <c r="V86">
        <v>0.9</v>
      </c>
      <c r="W86">
        <f t="shared" si="1"/>
        <v>52195</v>
      </c>
    </row>
    <row r="87" spans="1:23" x14ac:dyDescent="0.35">
      <c r="A87" t="s">
        <v>30</v>
      </c>
      <c r="B87" t="s">
        <v>288</v>
      </c>
      <c r="C87" t="s">
        <v>395</v>
      </c>
      <c r="D87" t="s">
        <v>396</v>
      </c>
      <c r="E87" t="s">
        <v>397</v>
      </c>
      <c r="F87">
        <v>250</v>
      </c>
      <c r="G87">
        <v>550</v>
      </c>
      <c r="H87" t="s">
        <v>34</v>
      </c>
      <c r="I87" t="s">
        <v>27</v>
      </c>
      <c r="J87">
        <v>2015</v>
      </c>
      <c r="K87" t="s">
        <v>28</v>
      </c>
      <c r="L87" t="s">
        <v>398</v>
      </c>
      <c r="M87">
        <v>40000</v>
      </c>
      <c r="N87">
        <v>9000</v>
      </c>
      <c r="O87">
        <v>31000</v>
      </c>
      <c r="P87">
        <v>0</v>
      </c>
      <c r="Q87">
        <v>0</v>
      </c>
      <c r="R87">
        <v>0</v>
      </c>
      <c r="S87">
        <v>52.82009085</v>
      </c>
      <c r="T87">
        <v>0.82558929999999997</v>
      </c>
      <c r="U87">
        <v>45</v>
      </c>
      <c r="V87">
        <v>0.9</v>
      </c>
      <c r="W87">
        <f t="shared" si="1"/>
        <v>40000</v>
      </c>
    </row>
    <row r="88" spans="1:23" x14ac:dyDescent="0.35">
      <c r="A88" t="s">
        <v>30</v>
      </c>
      <c r="B88" t="s">
        <v>288</v>
      </c>
      <c r="C88" t="s">
        <v>399</v>
      </c>
      <c r="D88" t="s">
        <v>400</v>
      </c>
      <c r="E88" t="s">
        <v>401</v>
      </c>
      <c r="F88">
        <v>1400</v>
      </c>
      <c r="G88">
        <v>0</v>
      </c>
      <c r="H88" t="s">
        <v>26</v>
      </c>
      <c r="I88" t="s">
        <v>27</v>
      </c>
      <c r="J88">
        <v>2011</v>
      </c>
      <c r="K88" t="s">
        <v>28</v>
      </c>
      <c r="L88" t="s">
        <v>402</v>
      </c>
      <c r="M88">
        <v>25000</v>
      </c>
      <c r="N88">
        <v>0</v>
      </c>
      <c r="O88">
        <v>25000</v>
      </c>
      <c r="P88">
        <v>0</v>
      </c>
      <c r="Q88">
        <v>0</v>
      </c>
      <c r="R88">
        <v>0</v>
      </c>
      <c r="S88">
        <v>52.699944000000002</v>
      </c>
      <c r="T88">
        <v>1.1954202</v>
      </c>
      <c r="U88">
        <v>45</v>
      </c>
      <c r="V88">
        <v>0.9</v>
      </c>
      <c r="W88">
        <f t="shared" si="1"/>
        <v>25000</v>
      </c>
    </row>
    <row r="89" spans="1:23" x14ac:dyDescent="0.35">
      <c r="A89" t="s">
        <v>30</v>
      </c>
      <c r="B89" t="s">
        <v>288</v>
      </c>
      <c r="C89" t="s">
        <v>403</v>
      </c>
      <c r="D89" t="s">
        <v>404</v>
      </c>
      <c r="E89" t="s">
        <v>405</v>
      </c>
      <c r="F89">
        <v>475</v>
      </c>
      <c r="G89">
        <v>700.15000000000009</v>
      </c>
      <c r="H89" t="s">
        <v>34</v>
      </c>
      <c r="I89" t="s">
        <v>27</v>
      </c>
      <c r="J89">
        <v>2014</v>
      </c>
      <c r="K89" t="s">
        <v>28</v>
      </c>
      <c r="L89" t="s">
        <v>406</v>
      </c>
      <c r="M89">
        <v>12000</v>
      </c>
      <c r="N89">
        <v>5500</v>
      </c>
      <c r="O89">
        <v>6500</v>
      </c>
      <c r="P89">
        <v>0</v>
      </c>
      <c r="Q89">
        <v>0</v>
      </c>
      <c r="R89">
        <v>0</v>
      </c>
      <c r="S89">
        <v>52.614885600000001</v>
      </c>
      <c r="T89">
        <v>1.0444777000000001</v>
      </c>
      <c r="U89">
        <v>45</v>
      </c>
      <c r="V89">
        <v>0.9</v>
      </c>
      <c r="W89">
        <f t="shared" si="1"/>
        <v>12000</v>
      </c>
    </row>
    <row r="90" spans="1:23" x14ac:dyDescent="0.35">
      <c r="A90" t="s">
        <v>22</v>
      </c>
      <c r="B90" t="s">
        <v>202</v>
      </c>
      <c r="C90" t="s">
        <v>407</v>
      </c>
      <c r="D90" t="s">
        <v>408</v>
      </c>
      <c r="E90" t="s">
        <v>409</v>
      </c>
      <c r="F90">
        <v>1554</v>
      </c>
      <c r="G90">
        <v>550</v>
      </c>
      <c r="H90" t="s">
        <v>34</v>
      </c>
      <c r="I90" t="s">
        <v>27</v>
      </c>
      <c r="J90">
        <v>2011</v>
      </c>
      <c r="K90" t="s">
        <v>28</v>
      </c>
      <c r="L90" t="s">
        <v>410</v>
      </c>
      <c r="M90">
        <v>32100</v>
      </c>
      <c r="N90">
        <v>8500</v>
      </c>
      <c r="O90">
        <v>3600</v>
      </c>
      <c r="P90">
        <v>0</v>
      </c>
      <c r="Q90">
        <v>20000</v>
      </c>
      <c r="R90">
        <v>0</v>
      </c>
      <c r="S90">
        <v>52.04195</v>
      </c>
      <c r="T90">
        <v>-2.6536300000000002</v>
      </c>
      <c r="U90">
        <v>45</v>
      </c>
      <c r="V90">
        <v>0.9</v>
      </c>
      <c r="W90">
        <f t="shared" si="1"/>
        <v>32100</v>
      </c>
    </row>
    <row r="91" spans="1:23" x14ac:dyDescent="0.35">
      <c r="A91" t="s">
        <v>76</v>
      </c>
      <c r="B91" t="s">
        <v>182</v>
      </c>
      <c r="C91" t="s">
        <v>411</v>
      </c>
      <c r="D91" t="s">
        <v>412</v>
      </c>
      <c r="E91" t="s">
        <v>413</v>
      </c>
      <c r="F91">
        <v>499</v>
      </c>
      <c r="G91">
        <v>0</v>
      </c>
      <c r="H91" t="s">
        <v>34</v>
      </c>
      <c r="I91" t="s">
        <v>27</v>
      </c>
      <c r="J91">
        <v>2020</v>
      </c>
      <c r="K91" t="s">
        <v>28</v>
      </c>
      <c r="L91" t="s">
        <v>414</v>
      </c>
      <c r="M91">
        <v>37000</v>
      </c>
      <c r="N91">
        <v>14000</v>
      </c>
      <c r="O91">
        <v>11000</v>
      </c>
      <c r="P91">
        <v>0</v>
      </c>
      <c r="Q91">
        <v>10000</v>
      </c>
      <c r="R91">
        <v>2000</v>
      </c>
      <c r="S91">
        <v>51.390304899999997</v>
      </c>
      <c r="T91">
        <v>0.25908530000000002</v>
      </c>
      <c r="U91">
        <v>45</v>
      </c>
      <c r="V91">
        <v>0.9</v>
      </c>
      <c r="W91">
        <f t="shared" si="1"/>
        <v>37000</v>
      </c>
    </row>
    <row r="92" spans="1:23" x14ac:dyDescent="0.35">
      <c r="A92" t="s">
        <v>30</v>
      </c>
      <c r="B92" t="s">
        <v>415</v>
      </c>
      <c r="C92" t="s">
        <v>416</v>
      </c>
      <c r="D92" t="s">
        <v>417</v>
      </c>
      <c r="E92" t="s">
        <v>418</v>
      </c>
      <c r="F92">
        <v>4380</v>
      </c>
      <c r="G92">
        <v>0</v>
      </c>
      <c r="H92" t="s">
        <v>26</v>
      </c>
      <c r="I92" t="s">
        <v>27</v>
      </c>
      <c r="J92">
        <v>2015</v>
      </c>
      <c r="K92" t="s">
        <v>35</v>
      </c>
      <c r="L92" t="s">
        <v>333</v>
      </c>
      <c r="M92">
        <v>107000</v>
      </c>
      <c r="N92">
        <v>0</v>
      </c>
      <c r="O92">
        <v>0</v>
      </c>
      <c r="P92">
        <v>64000</v>
      </c>
      <c r="Q92">
        <v>0</v>
      </c>
      <c r="R92">
        <v>43000</v>
      </c>
      <c r="S92">
        <v>51.58869</v>
      </c>
      <c r="T92">
        <v>0.50739999999999996</v>
      </c>
      <c r="U92">
        <v>45</v>
      </c>
      <c r="V92">
        <v>0.9</v>
      </c>
      <c r="W92">
        <f t="shared" si="1"/>
        <v>107000</v>
      </c>
    </row>
    <row r="93" spans="1:23" x14ac:dyDescent="0.35">
      <c r="A93" t="s">
        <v>102</v>
      </c>
      <c r="B93" t="s">
        <v>103</v>
      </c>
      <c r="C93" t="s">
        <v>235</v>
      </c>
      <c r="D93" t="s">
        <v>419</v>
      </c>
      <c r="E93" t="s">
        <v>420</v>
      </c>
      <c r="F93">
        <v>8000</v>
      </c>
      <c r="G93">
        <v>440</v>
      </c>
      <c r="H93" t="s">
        <v>34</v>
      </c>
      <c r="I93" t="s">
        <v>27</v>
      </c>
      <c r="J93">
        <v>2019</v>
      </c>
      <c r="K93" t="s">
        <v>28</v>
      </c>
      <c r="L93" t="s">
        <v>421</v>
      </c>
      <c r="M93">
        <v>100000</v>
      </c>
      <c r="N93">
        <v>0</v>
      </c>
      <c r="O93">
        <v>0</v>
      </c>
      <c r="P93">
        <v>0</v>
      </c>
      <c r="Q93">
        <v>0</v>
      </c>
      <c r="R93">
        <v>0</v>
      </c>
      <c r="S93">
        <v>54.994900000000001</v>
      </c>
      <c r="T93">
        <v>-3.8361800000000001</v>
      </c>
      <c r="U93">
        <v>45</v>
      </c>
      <c r="V93">
        <v>0.9</v>
      </c>
      <c r="W93">
        <f t="shared" si="1"/>
        <v>100000</v>
      </c>
    </row>
    <row r="94" spans="1:23" x14ac:dyDescent="0.35">
      <c r="A94" t="s">
        <v>58</v>
      </c>
      <c r="B94" t="s">
        <v>250</v>
      </c>
      <c r="C94" t="s">
        <v>422</v>
      </c>
      <c r="D94" t="s">
        <v>423</v>
      </c>
      <c r="E94" t="s">
        <v>424</v>
      </c>
      <c r="F94">
        <v>1500</v>
      </c>
      <c r="G94">
        <v>800</v>
      </c>
      <c r="H94" t="s">
        <v>34</v>
      </c>
      <c r="I94" t="s">
        <v>27</v>
      </c>
      <c r="J94">
        <v>2022</v>
      </c>
      <c r="K94" t="s">
        <v>35</v>
      </c>
      <c r="L94" t="s">
        <v>425</v>
      </c>
      <c r="M94">
        <v>41250</v>
      </c>
      <c r="N94">
        <v>1500</v>
      </c>
      <c r="O94">
        <v>0</v>
      </c>
      <c r="P94">
        <v>10600</v>
      </c>
      <c r="Q94">
        <v>24000</v>
      </c>
      <c r="R94">
        <v>0</v>
      </c>
      <c r="S94">
        <v>52.950290113793102</v>
      </c>
      <c r="T94">
        <v>-1.2930059931034481</v>
      </c>
      <c r="U94">
        <v>45</v>
      </c>
      <c r="V94">
        <v>0.9</v>
      </c>
      <c r="W94">
        <f t="shared" si="1"/>
        <v>41250</v>
      </c>
    </row>
    <row r="95" spans="1:23" x14ac:dyDescent="0.35">
      <c r="A95" t="s">
        <v>102</v>
      </c>
      <c r="B95" t="s">
        <v>103</v>
      </c>
      <c r="C95" t="s">
        <v>426</v>
      </c>
      <c r="D95" t="s">
        <v>427</v>
      </c>
      <c r="E95" t="s">
        <v>428</v>
      </c>
      <c r="F95">
        <v>3600</v>
      </c>
      <c r="G95">
        <v>495.00000000000011</v>
      </c>
      <c r="H95" t="s">
        <v>34</v>
      </c>
      <c r="I95" t="s">
        <v>27</v>
      </c>
      <c r="J95">
        <v>2011</v>
      </c>
      <c r="K95" t="s">
        <v>35</v>
      </c>
      <c r="L95" t="s">
        <v>333</v>
      </c>
      <c r="M95">
        <v>120000</v>
      </c>
      <c r="N95">
        <v>0</v>
      </c>
      <c r="O95">
        <v>0</v>
      </c>
      <c r="P95">
        <v>80000</v>
      </c>
      <c r="Q95">
        <v>0</v>
      </c>
      <c r="R95">
        <v>40000</v>
      </c>
      <c r="S95">
        <v>55.969749999999998</v>
      </c>
      <c r="T95">
        <v>-3.9568300000000001</v>
      </c>
      <c r="U95">
        <v>45</v>
      </c>
      <c r="V95">
        <v>0.9</v>
      </c>
      <c r="W95">
        <f t="shared" si="1"/>
        <v>120000</v>
      </c>
    </row>
    <row r="96" spans="1:23" x14ac:dyDescent="0.35">
      <c r="A96" t="s">
        <v>37</v>
      </c>
      <c r="B96" t="s">
        <v>115</v>
      </c>
      <c r="C96" t="s">
        <v>429</v>
      </c>
      <c r="D96" t="s">
        <v>430</v>
      </c>
      <c r="E96" t="s">
        <v>431</v>
      </c>
      <c r="F96">
        <v>500</v>
      </c>
      <c r="G96">
        <v>0</v>
      </c>
      <c r="H96" t="s">
        <v>26</v>
      </c>
      <c r="I96" t="s">
        <v>27</v>
      </c>
      <c r="J96">
        <v>2016</v>
      </c>
      <c r="K96" t="s">
        <v>28</v>
      </c>
      <c r="L96" t="s">
        <v>136</v>
      </c>
      <c r="M96">
        <v>15300</v>
      </c>
      <c r="N96">
        <v>4000</v>
      </c>
      <c r="O96">
        <v>11300</v>
      </c>
      <c r="P96">
        <v>0</v>
      </c>
      <c r="Q96">
        <v>0</v>
      </c>
      <c r="R96">
        <v>0</v>
      </c>
      <c r="S96">
        <v>48.099036050000002</v>
      </c>
      <c r="T96">
        <v>11.356516300172441</v>
      </c>
      <c r="U96">
        <v>45</v>
      </c>
      <c r="V96">
        <v>0.9</v>
      </c>
      <c r="W96">
        <f t="shared" si="1"/>
        <v>15300</v>
      </c>
    </row>
    <row r="97" spans="1:23" x14ac:dyDescent="0.35">
      <c r="A97" t="s">
        <v>102</v>
      </c>
      <c r="B97" t="s">
        <v>432</v>
      </c>
      <c r="C97" t="s">
        <v>280</v>
      </c>
      <c r="D97" t="s">
        <v>433</v>
      </c>
      <c r="E97" t="s">
        <v>434</v>
      </c>
      <c r="F97">
        <v>500</v>
      </c>
      <c r="G97">
        <v>0</v>
      </c>
      <c r="H97" t="s">
        <v>26</v>
      </c>
      <c r="I97" t="s">
        <v>27</v>
      </c>
      <c r="J97">
        <v>2013</v>
      </c>
      <c r="K97" t="s">
        <v>35</v>
      </c>
      <c r="L97" t="s">
        <v>320</v>
      </c>
      <c r="M97">
        <v>15000</v>
      </c>
      <c r="N97">
        <v>0</v>
      </c>
      <c r="O97">
        <v>0</v>
      </c>
      <c r="P97">
        <v>0</v>
      </c>
      <c r="Q97">
        <v>0</v>
      </c>
      <c r="R97">
        <v>15000</v>
      </c>
      <c r="S97">
        <v>57.447400000000002</v>
      </c>
      <c r="T97">
        <v>-3.2841100000000001</v>
      </c>
      <c r="U97">
        <v>45</v>
      </c>
      <c r="V97">
        <v>0.9</v>
      </c>
      <c r="W97">
        <f t="shared" si="1"/>
        <v>15000</v>
      </c>
    </row>
    <row r="98" spans="1:23" x14ac:dyDescent="0.35">
      <c r="A98" t="s">
        <v>76</v>
      </c>
      <c r="B98" t="s">
        <v>329</v>
      </c>
      <c r="C98" t="s">
        <v>435</v>
      </c>
      <c r="D98" t="s">
        <v>436</v>
      </c>
      <c r="E98" t="s">
        <v>437</v>
      </c>
      <c r="F98">
        <v>250</v>
      </c>
      <c r="G98">
        <v>275</v>
      </c>
      <c r="H98" t="s">
        <v>34</v>
      </c>
      <c r="I98" t="s">
        <v>27</v>
      </c>
      <c r="J98">
        <v>2019</v>
      </c>
      <c r="K98" t="s">
        <v>35</v>
      </c>
      <c r="L98" t="s">
        <v>85</v>
      </c>
      <c r="M98">
        <v>25000</v>
      </c>
      <c r="N98">
        <v>0</v>
      </c>
      <c r="O98">
        <v>0</v>
      </c>
      <c r="P98">
        <v>25000</v>
      </c>
      <c r="Q98">
        <v>0</v>
      </c>
      <c r="R98">
        <v>0</v>
      </c>
      <c r="S98">
        <v>51.120157120000002</v>
      </c>
      <c r="T98">
        <v>-0.53178164000000006</v>
      </c>
      <c r="U98">
        <v>45</v>
      </c>
      <c r="V98">
        <v>0.9</v>
      </c>
      <c r="W98">
        <f t="shared" si="1"/>
        <v>25000</v>
      </c>
    </row>
    <row r="99" spans="1:23" x14ac:dyDescent="0.35">
      <c r="A99" t="s">
        <v>215</v>
      </c>
      <c r="B99" t="s">
        <v>386</v>
      </c>
      <c r="C99" t="s">
        <v>438</v>
      </c>
      <c r="D99" t="s">
        <v>439</v>
      </c>
      <c r="E99" t="s">
        <v>440</v>
      </c>
      <c r="F99">
        <v>5100</v>
      </c>
      <c r="G99">
        <v>550</v>
      </c>
      <c r="H99" t="s">
        <v>34</v>
      </c>
      <c r="I99" t="s">
        <v>27</v>
      </c>
      <c r="J99">
        <v>2017</v>
      </c>
      <c r="K99" t="s">
        <v>28</v>
      </c>
      <c r="L99" t="s">
        <v>441</v>
      </c>
      <c r="M99">
        <v>45000</v>
      </c>
      <c r="N99">
        <v>10000</v>
      </c>
      <c r="O99">
        <v>15000</v>
      </c>
      <c r="P99">
        <v>10000</v>
      </c>
      <c r="Q99">
        <v>0</v>
      </c>
      <c r="R99">
        <v>10000</v>
      </c>
      <c r="S99">
        <v>54.653190000000002</v>
      </c>
      <c r="T99">
        <v>-1.20695</v>
      </c>
      <c r="U99">
        <v>45</v>
      </c>
      <c r="V99">
        <v>0.9</v>
      </c>
      <c r="W99">
        <f t="shared" si="1"/>
        <v>45000</v>
      </c>
    </row>
    <row r="100" spans="1:23" x14ac:dyDescent="0.35">
      <c r="A100" t="s">
        <v>30</v>
      </c>
      <c r="B100" t="s">
        <v>43</v>
      </c>
      <c r="C100" t="s">
        <v>442</v>
      </c>
      <c r="D100" t="s">
        <v>443</v>
      </c>
      <c r="E100" t="s">
        <v>444</v>
      </c>
      <c r="F100">
        <v>2800</v>
      </c>
      <c r="G100">
        <v>0</v>
      </c>
      <c r="H100" t="s">
        <v>26</v>
      </c>
      <c r="I100" t="s">
        <v>27</v>
      </c>
      <c r="J100">
        <v>2015</v>
      </c>
      <c r="K100" t="s">
        <v>28</v>
      </c>
      <c r="L100" t="s">
        <v>445</v>
      </c>
      <c r="M100">
        <v>50000</v>
      </c>
      <c r="N100">
        <v>0</v>
      </c>
      <c r="O100">
        <v>50000</v>
      </c>
      <c r="P100">
        <v>0</v>
      </c>
      <c r="Q100">
        <v>0</v>
      </c>
      <c r="R100">
        <v>0</v>
      </c>
      <c r="S100">
        <v>52.69838</v>
      </c>
      <c r="T100">
        <v>-0.13284000000000001</v>
      </c>
      <c r="U100">
        <v>45</v>
      </c>
      <c r="V100">
        <v>0.9</v>
      </c>
      <c r="W100">
        <f t="shared" si="1"/>
        <v>50000</v>
      </c>
    </row>
    <row r="101" spans="1:23" x14ac:dyDescent="0.35">
      <c r="A101" t="s">
        <v>102</v>
      </c>
      <c r="B101" t="s">
        <v>103</v>
      </c>
      <c r="C101" t="s">
        <v>446</v>
      </c>
      <c r="D101" t="s">
        <v>447</v>
      </c>
      <c r="E101" t="s">
        <v>448</v>
      </c>
      <c r="F101">
        <v>1000</v>
      </c>
      <c r="G101">
        <v>0</v>
      </c>
      <c r="H101" t="s">
        <v>26</v>
      </c>
      <c r="I101" t="s">
        <v>27</v>
      </c>
      <c r="J101">
        <v>2010</v>
      </c>
      <c r="K101" t="s">
        <v>35</v>
      </c>
      <c r="L101" t="s">
        <v>85</v>
      </c>
      <c r="M101">
        <v>30000</v>
      </c>
      <c r="N101">
        <v>0</v>
      </c>
      <c r="O101">
        <v>0</v>
      </c>
      <c r="P101">
        <v>30000</v>
      </c>
      <c r="Q101">
        <v>0</v>
      </c>
      <c r="R101">
        <v>0</v>
      </c>
      <c r="S101">
        <v>55.926519999999996</v>
      </c>
      <c r="T101">
        <v>-4.05694</v>
      </c>
      <c r="U101">
        <v>45</v>
      </c>
      <c r="V101">
        <v>0.9</v>
      </c>
      <c r="W101">
        <f t="shared" si="1"/>
        <v>30000</v>
      </c>
    </row>
    <row r="102" spans="1:23" x14ac:dyDescent="0.35">
      <c r="A102" t="s">
        <v>58</v>
      </c>
      <c r="B102" t="s">
        <v>250</v>
      </c>
      <c r="C102" t="s">
        <v>137</v>
      </c>
      <c r="D102" t="s">
        <v>449</v>
      </c>
      <c r="E102" t="s">
        <v>450</v>
      </c>
      <c r="F102" t="s">
        <v>46</v>
      </c>
      <c r="G102">
        <v>550</v>
      </c>
      <c r="H102" t="s">
        <v>373</v>
      </c>
      <c r="I102" t="s">
        <v>27</v>
      </c>
      <c r="J102">
        <v>2019</v>
      </c>
      <c r="K102" t="s">
        <v>35</v>
      </c>
      <c r="L102" t="s">
        <v>85</v>
      </c>
      <c r="M102">
        <v>50000</v>
      </c>
      <c r="N102">
        <v>0</v>
      </c>
      <c r="O102">
        <v>0</v>
      </c>
      <c r="P102">
        <v>50000</v>
      </c>
      <c r="Q102">
        <v>0</v>
      </c>
      <c r="R102">
        <v>0</v>
      </c>
      <c r="S102">
        <v>52.913842299999999</v>
      </c>
      <c r="T102">
        <v>-1.419816</v>
      </c>
      <c r="U102">
        <v>45</v>
      </c>
      <c r="V102">
        <v>0.9</v>
      </c>
      <c r="W102">
        <f t="shared" si="1"/>
        <v>50000</v>
      </c>
    </row>
    <row r="103" spans="1:23" x14ac:dyDescent="0.35">
      <c r="A103" t="s">
        <v>163</v>
      </c>
      <c r="B103" t="s">
        <v>293</v>
      </c>
      <c r="C103" t="s">
        <v>364</v>
      </c>
      <c r="D103" t="s">
        <v>451</v>
      </c>
      <c r="E103" t="s">
        <v>452</v>
      </c>
      <c r="F103">
        <v>3000</v>
      </c>
      <c r="G103">
        <v>0</v>
      </c>
      <c r="H103" t="s">
        <v>26</v>
      </c>
      <c r="I103" t="s">
        <v>27</v>
      </c>
      <c r="J103">
        <v>2013</v>
      </c>
      <c r="K103" t="s">
        <v>35</v>
      </c>
      <c r="L103" t="s">
        <v>453</v>
      </c>
      <c r="M103">
        <v>15000</v>
      </c>
      <c r="N103">
        <v>0</v>
      </c>
      <c r="O103">
        <v>0</v>
      </c>
      <c r="P103">
        <v>0</v>
      </c>
      <c r="Q103">
        <v>0</v>
      </c>
      <c r="R103">
        <v>15000</v>
      </c>
      <c r="S103">
        <v>51.085341849999999</v>
      </c>
      <c r="T103">
        <v>-2.54505925</v>
      </c>
      <c r="U103">
        <v>45</v>
      </c>
      <c r="V103">
        <v>0.9</v>
      </c>
      <c r="W103">
        <f t="shared" si="1"/>
        <v>15000</v>
      </c>
    </row>
    <row r="104" spans="1:23" x14ac:dyDescent="0.35">
      <c r="A104" t="s">
        <v>102</v>
      </c>
      <c r="B104" t="s">
        <v>432</v>
      </c>
      <c r="C104" t="s">
        <v>454</v>
      </c>
      <c r="D104" t="s">
        <v>455</v>
      </c>
      <c r="E104" t="s">
        <v>456</v>
      </c>
      <c r="F104">
        <v>500</v>
      </c>
      <c r="G104">
        <v>550</v>
      </c>
      <c r="H104" t="s">
        <v>34</v>
      </c>
      <c r="I104" t="s">
        <v>27</v>
      </c>
      <c r="J104">
        <v>2016</v>
      </c>
      <c r="K104" t="s">
        <v>28</v>
      </c>
      <c r="L104" t="s">
        <v>457</v>
      </c>
      <c r="M104">
        <v>55000</v>
      </c>
      <c r="N104">
        <v>10000</v>
      </c>
      <c r="O104">
        <v>35000</v>
      </c>
      <c r="P104">
        <v>10000</v>
      </c>
      <c r="Q104">
        <v>0</v>
      </c>
      <c r="R104">
        <v>0</v>
      </c>
      <c r="S104">
        <v>57.499630000000003</v>
      </c>
      <c r="T104">
        <v>-1.8645799999999999</v>
      </c>
      <c r="U104">
        <v>45</v>
      </c>
      <c r="V104">
        <v>0.9</v>
      </c>
      <c r="W104">
        <f t="shared" si="1"/>
        <v>55000</v>
      </c>
    </row>
    <row r="105" spans="1:23" x14ac:dyDescent="0.35">
      <c r="A105" t="s">
        <v>37</v>
      </c>
      <c r="B105" t="s">
        <v>132</v>
      </c>
      <c r="C105" t="s">
        <v>458</v>
      </c>
      <c r="D105" t="s">
        <v>459</v>
      </c>
      <c r="E105" t="s">
        <v>460</v>
      </c>
      <c r="F105">
        <v>500</v>
      </c>
      <c r="G105">
        <v>0</v>
      </c>
      <c r="H105" t="s">
        <v>26</v>
      </c>
      <c r="I105" t="s">
        <v>27</v>
      </c>
      <c r="J105">
        <v>2014</v>
      </c>
      <c r="K105" t="s">
        <v>28</v>
      </c>
      <c r="L105" t="s">
        <v>461</v>
      </c>
      <c r="M105">
        <v>21900</v>
      </c>
      <c r="N105">
        <v>10950</v>
      </c>
      <c r="O105">
        <v>10950</v>
      </c>
      <c r="P105">
        <v>0</v>
      </c>
      <c r="Q105">
        <v>0</v>
      </c>
      <c r="R105">
        <v>0</v>
      </c>
      <c r="S105">
        <v>54.420914799999998</v>
      </c>
      <c r="T105">
        <v>-6.7654889999999996</v>
      </c>
      <c r="U105">
        <v>45</v>
      </c>
      <c r="V105">
        <v>0.9</v>
      </c>
      <c r="W105">
        <f t="shared" si="1"/>
        <v>21900</v>
      </c>
    </row>
    <row r="106" spans="1:23" x14ac:dyDescent="0.35">
      <c r="A106" t="s">
        <v>37</v>
      </c>
      <c r="B106" t="s">
        <v>115</v>
      </c>
      <c r="C106" t="s">
        <v>462</v>
      </c>
      <c r="D106" t="s">
        <v>463</v>
      </c>
      <c r="E106" t="s">
        <v>464</v>
      </c>
      <c r="F106">
        <v>500</v>
      </c>
      <c r="G106">
        <v>0</v>
      </c>
      <c r="H106" t="s">
        <v>26</v>
      </c>
      <c r="I106" t="s">
        <v>27</v>
      </c>
      <c r="J106">
        <v>2017</v>
      </c>
      <c r="K106" t="s">
        <v>28</v>
      </c>
      <c r="L106" t="s">
        <v>465</v>
      </c>
      <c r="M106">
        <v>18000</v>
      </c>
      <c r="N106">
        <v>6000</v>
      </c>
      <c r="O106">
        <v>12000</v>
      </c>
      <c r="P106">
        <v>0</v>
      </c>
      <c r="Q106">
        <v>0</v>
      </c>
      <c r="R106">
        <v>0</v>
      </c>
      <c r="S106">
        <v>35.245075999999997</v>
      </c>
      <c r="T106">
        <v>136.75455099999999</v>
      </c>
      <c r="U106">
        <v>45</v>
      </c>
      <c r="V106">
        <v>0.9</v>
      </c>
      <c r="W106">
        <f t="shared" si="1"/>
        <v>18000</v>
      </c>
    </row>
    <row r="107" spans="1:23" x14ac:dyDescent="0.35">
      <c r="A107" t="s">
        <v>70</v>
      </c>
      <c r="B107" t="s">
        <v>71</v>
      </c>
      <c r="C107" t="s">
        <v>466</v>
      </c>
      <c r="D107" t="s">
        <v>467</v>
      </c>
      <c r="E107" t="s">
        <v>468</v>
      </c>
      <c r="F107">
        <v>1800</v>
      </c>
      <c r="G107">
        <v>0</v>
      </c>
      <c r="H107" t="s">
        <v>26</v>
      </c>
      <c r="I107" t="s">
        <v>27</v>
      </c>
      <c r="J107">
        <v>2011</v>
      </c>
      <c r="K107" t="s">
        <v>28</v>
      </c>
      <c r="L107" t="s">
        <v>469</v>
      </c>
      <c r="M107">
        <v>32000</v>
      </c>
      <c r="N107">
        <v>7000</v>
      </c>
      <c r="O107">
        <v>25000</v>
      </c>
      <c r="P107">
        <v>0</v>
      </c>
      <c r="Q107">
        <v>0</v>
      </c>
      <c r="R107">
        <v>0</v>
      </c>
      <c r="S107">
        <v>54.856299999999997</v>
      </c>
      <c r="T107">
        <v>-3.3586299999999998</v>
      </c>
      <c r="U107">
        <v>45</v>
      </c>
      <c r="V107">
        <v>0.9</v>
      </c>
      <c r="W107">
        <f t="shared" si="1"/>
        <v>32000</v>
      </c>
    </row>
    <row r="108" spans="1:23" x14ac:dyDescent="0.35">
      <c r="A108" t="s">
        <v>22</v>
      </c>
      <c r="B108" t="s">
        <v>202</v>
      </c>
      <c r="C108" t="s">
        <v>470</v>
      </c>
      <c r="D108" t="s">
        <v>471</v>
      </c>
      <c r="E108" t="s">
        <v>472</v>
      </c>
      <c r="F108">
        <v>395</v>
      </c>
      <c r="G108">
        <v>0</v>
      </c>
      <c r="H108" t="s">
        <v>26</v>
      </c>
      <c r="I108" t="s">
        <v>27</v>
      </c>
      <c r="J108">
        <v>2013</v>
      </c>
      <c r="K108" t="s">
        <v>28</v>
      </c>
      <c r="L108" t="s">
        <v>473</v>
      </c>
      <c r="M108">
        <v>13000</v>
      </c>
      <c r="N108">
        <v>3000</v>
      </c>
      <c r="O108">
        <v>10000</v>
      </c>
      <c r="P108">
        <v>0</v>
      </c>
      <c r="Q108">
        <v>0</v>
      </c>
      <c r="R108">
        <v>0</v>
      </c>
      <c r="S108">
        <v>52.133679999999998</v>
      </c>
      <c r="T108">
        <v>-3.0112198999999999</v>
      </c>
      <c r="U108">
        <v>45</v>
      </c>
      <c r="V108">
        <v>0.9</v>
      </c>
      <c r="W108">
        <f t="shared" si="1"/>
        <v>13000</v>
      </c>
    </row>
    <row r="109" spans="1:23" x14ac:dyDescent="0.35">
      <c r="A109" t="s">
        <v>22</v>
      </c>
      <c r="B109" t="s">
        <v>98</v>
      </c>
      <c r="C109" t="s">
        <v>137</v>
      </c>
      <c r="D109" t="s">
        <v>474</v>
      </c>
      <c r="E109" t="s">
        <v>475</v>
      </c>
      <c r="F109">
        <v>2400</v>
      </c>
      <c r="G109">
        <v>350</v>
      </c>
      <c r="H109" t="s">
        <v>34</v>
      </c>
      <c r="I109" t="s">
        <v>27</v>
      </c>
      <c r="J109">
        <v>2014</v>
      </c>
      <c r="K109" t="s">
        <v>35</v>
      </c>
      <c r="L109" t="s">
        <v>85</v>
      </c>
      <c r="M109">
        <v>50000</v>
      </c>
      <c r="N109">
        <v>0</v>
      </c>
      <c r="O109">
        <v>0</v>
      </c>
      <c r="P109">
        <v>50000</v>
      </c>
      <c r="Q109">
        <v>0</v>
      </c>
      <c r="R109">
        <v>0</v>
      </c>
      <c r="S109">
        <v>52.518349999999998</v>
      </c>
      <c r="T109">
        <v>-1.71773</v>
      </c>
      <c r="U109">
        <v>45</v>
      </c>
      <c r="V109">
        <v>0.9</v>
      </c>
      <c r="W109">
        <f t="shared" si="1"/>
        <v>50000</v>
      </c>
    </row>
    <row r="110" spans="1:23" x14ac:dyDescent="0.35">
      <c r="A110" t="s">
        <v>58</v>
      </c>
      <c r="B110" t="s">
        <v>59</v>
      </c>
      <c r="C110" t="s">
        <v>476</v>
      </c>
      <c r="D110" t="s">
        <v>477</v>
      </c>
      <c r="E110" t="s">
        <v>478</v>
      </c>
      <c r="F110">
        <v>1160</v>
      </c>
      <c r="G110">
        <v>0</v>
      </c>
      <c r="H110" t="s">
        <v>26</v>
      </c>
      <c r="I110" t="s">
        <v>27</v>
      </c>
      <c r="J110">
        <v>2013</v>
      </c>
      <c r="K110" t="s">
        <v>28</v>
      </c>
      <c r="L110" t="s">
        <v>479</v>
      </c>
      <c r="M110">
        <v>26325</v>
      </c>
      <c r="N110">
        <v>10000</v>
      </c>
      <c r="O110">
        <v>10000</v>
      </c>
      <c r="P110">
        <v>0</v>
      </c>
      <c r="Q110">
        <v>6325</v>
      </c>
      <c r="R110">
        <v>0</v>
      </c>
      <c r="S110">
        <v>53.139338899999998</v>
      </c>
      <c r="T110">
        <v>-1.3295E-3</v>
      </c>
      <c r="U110">
        <v>45</v>
      </c>
      <c r="V110">
        <v>0.9</v>
      </c>
      <c r="W110">
        <f t="shared" si="1"/>
        <v>26325</v>
      </c>
    </row>
    <row r="111" spans="1:23" x14ac:dyDescent="0.35">
      <c r="A111" t="s">
        <v>102</v>
      </c>
      <c r="B111" t="s">
        <v>103</v>
      </c>
      <c r="C111" t="s">
        <v>480</v>
      </c>
      <c r="D111" t="s">
        <v>481</v>
      </c>
      <c r="E111" t="s">
        <v>482</v>
      </c>
      <c r="F111">
        <v>154</v>
      </c>
      <c r="G111">
        <v>0</v>
      </c>
      <c r="H111" t="s">
        <v>26</v>
      </c>
      <c r="I111" t="s">
        <v>27</v>
      </c>
      <c r="J111">
        <v>2014</v>
      </c>
      <c r="K111" t="s">
        <v>28</v>
      </c>
      <c r="L111" t="s">
        <v>483</v>
      </c>
      <c r="M111">
        <v>12800</v>
      </c>
      <c r="N111">
        <v>12800</v>
      </c>
      <c r="O111">
        <v>0</v>
      </c>
      <c r="P111">
        <v>0</v>
      </c>
      <c r="Q111">
        <v>0</v>
      </c>
      <c r="R111">
        <v>0</v>
      </c>
      <c r="S111">
        <v>54.949649999999998</v>
      </c>
      <c r="T111">
        <v>-4.5027200000000001</v>
      </c>
      <c r="U111">
        <v>45</v>
      </c>
      <c r="V111">
        <v>0.9</v>
      </c>
      <c r="W111">
        <f t="shared" si="1"/>
        <v>12800</v>
      </c>
    </row>
    <row r="112" spans="1:23" x14ac:dyDescent="0.35">
      <c r="A112" t="s">
        <v>484</v>
      </c>
      <c r="B112" t="s">
        <v>485</v>
      </c>
      <c r="C112" t="s">
        <v>395</v>
      </c>
      <c r="D112" t="s">
        <v>486</v>
      </c>
      <c r="E112" t="s">
        <v>487</v>
      </c>
      <c r="F112">
        <v>3560</v>
      </c>
      <c r="G112">
        <v>1200</v>
      </c>
      <c r="H112" t="s">
        <v>26</v>
      </c>
      <c r="I112" t="s">
        <v>27</v>
      </c>
      <c r="J112">
        <v>2014</v>
      </c>
      <c r="K112" t="s">
        <v>35</v>
      </c>
      <c r="L112" t="s">
        <v>85</v>
      </c>
      <c r="M112">
        <v>70000</v>
      </c>
      <c r="N112">
        <v>0</v>
      </c>
      <c r="O112">
        <v>0</v>
      </c>
      <c r="P112">
        <v>70000</v>
      </c>
      <c r="Q112">
        <v>0</v>
      </c>
      <c r="R112">
        <v>0</v>
      </c>
      <c r="S112">
        <v>51.530140000000003</v>
      </c>
      <c r="T112">
        <v>0.14602999999999999</v>
      </c>
      <c r="U112">
        <v>45</v>
      </c>
      <c r="V112">
        <v>0.9</v>
      </c>
      <c r="W112">
        <f t="shared" si="1"/>
        <v>70000</v>
      </c>
    </row>
    <row r="113" spans="1:23" x14ac:dyDescent="0.35">
      <c r="A113" t="s">
        <v>76</v>
      </c>
      <c r="B113" t="s">
        <v>300</v>
      </c>
      <c r="C113" t="s">
        <v>488</v>
      </c>
      <c r="D113" t="s">
        <v>489</v>
      </c>
      <c r="E113" t="s">
        <v>490</v>
      </c>
      <c r="F113">
        <v>3000</v>
      </c>
      <c r="G113">
        <v>0</v>
      </c>
      <c r="H113" t="s">
        <v>26</v>
      </c>
      <c r="I113" t="s">
        <v>27</v>
      </c>
      <c r="J113">
        <v>2021</v>
      </c>
      <c r="K113" t="s">
        <v>35</v>
      </c>
      <c r="L113" t="s">
        <v>53</v>
      </c>
      <c r="M113">
        <v>67000</v>
      </c>
      <c r="N113">
        <v>0</v>
      </c>
      <c r="O113">
        <v>0</v>
      </c>
      <c r="P113">
        <v>40200</v>
      </c>
      <c r="Q113">
        <v>0</v>
      </c>
      <c r="R113">
        <v>26800</v>
      </c>
      <c r="S113">
        <v>50.962029999999999</v>
      </c>
      <c r="T113">
        <v>-1.33999</v>
      </c>
      <c r="U113">
        <v>45</v>
      </c>
      <c r="V113">
        <v>0.9</v>
      </c>
      <c r="W113">
        <f t="shared" si="1"/>
        <v>67000</v>
      </c>
    </row>
    <row r="114" spans="1:23" x14ac:dyDescent="0.35">
      <c r="A114" t="s">
        <v>76</v>
      </c>
      <c r="B114" t="s">
        <v>182</v>
      </c>
      <c r="C114" t="s">
        <v>491</v>
      </c>
      <c r="D114" t="s">
        <v>492</v>
      </c>
      <c r="E114" t="s">
        <v>493</v>
      </c>
      <c r="F114">
        <v>489</v>
      </c>
      <c r="G114">
        <v>550</v>
      </c>
      <c r="H114" t="s">
        <v>34</v>
      </c>
      <c r="I114" t="s">
        <v>27</v>
      </c>
      <c r="J114">
        <v>2013</v>
      </c>
      <c r="K114" t="s">
        <v>28</v>
      </c>
      <c r="L114" t="s">
        <v>176</v>
      </c>
      <c r="M114">
        <v>30000</v>
      </c>
      <c r="N114">
        <v>0</v>
      </c>
      <c r="O114">
        <v>30000</v>
      </c>
      <c r="P114">
        <v>0</v>
      </c>
      <c r="Q114">
        <v>0</v>
      </c>
      <c r="R114">
        <v>0</v>
      </c>
      <c r="S114">
        <v>51.319279999999999</v>
      </c>
      <c r="T114">
        <v>1.34754</v>
      </c>
      <c r="U114">
        <v>45</v>
      </c>
      <c r="V114">
        <v>0.9</v>
      </c>
      <c r="W114">
        <f t="shared" si="1"/>
        <v>30000</v>
      </c>
    </row>
    <row r="115" spans="1:23" x14ac:dyDescent="0.35">
      <c r="A115" t="s">
        <v>102</v>
      </c>
      <c r="B115" t="s">
        <v>103</v>
      </c>
      <c r="C115" t="s">
        <v>494</v>
      </c>
      <c r="D115" t="s">
        <v>495</v>
      </c>
      <c r="E115" t="s">
        <v>496</v>
      </c>
      <c r="F115">
        <v>500</v>
      </c>
      <c r="G115">
        <v>0</v>
      </c>
      <c r="H115" t="s">
        <v>26</v>
      </c>
      <c r="I115" t="s">
        <v>27</v>
      </c>
      <c r="J115">
        <v>2021</v>
      </c>
      <c r="K115" t="s">
        <v>35</v>
      </c>
      <c r="L115" t="s">
        <v>497</v>
      </c>
      <c r="M115">
        <v>12000</v>
      </c>
      <c r="N115">
        <v>0</v>
      </c>
      <c r="O115">
        <v>0</v>
      </c>
      <c r="P115">
        <v>0</v>
      </c>
      <c r="Q115">
        <v>0</v>
      </c>
      <c r="R115">
        <v>12000</v>
      </c>
      <c r="S115">
        <v>31.039210799999999</v>
      </c>
      <c r="T115">
        <v>121.83280430000001</v>
      </c>
      <c r="U115">
        <v>45</v>
      </c>
      <c r="V115">
        <v>0.9</v>
      </c>
      <c r="W115">
        <f t="shared" si="1"/>
        <v>12000</v>
      </c>
    </row>
    <row r="116" spans="1:23" x14ac:dyDescent="0.35">
      <c r="A116" t="s">
        <v>163</v>
      </c>
      <c r="B116" t="s">
        <v>358</v>
      </c>
      <c r="C116" t="s">
        <v>498</v>
      </c>
      <c r="D116" t="s">
        <v>499</v>
      </c>
      <c r="E116" t="s">
        <v>500</v>
      </c>
      <c r="F116">
        <v>182.5</v>
      </c>
      <c r="G116">
        <v>0</v>
      </c>
      <c r="H116" t="s">
        <v>26</v>
      </c>
      <c r="I116" t="s">
        <v>27</v>
      </c>
      <c r="J116">
        <v>2015</v>
      </c>
      <c r="K116" t="s">
        <v>28</v>
      </c>
      <c r="L116" t="s">
        <v>501</v>
      </c>
      <c r="M116">
        <v>12764</v>
      </c>
      <c r="N116">
        <v>12764</v>
      </c>
      <c r="O116">
        <v>0</v>
      </c>
      <c r="P116">
        <v>0</v>
      </c>
      <c r="Q116">
        <v>0</v>
      </c>
      <c r="R116">
        <v>0</v>
      </c>
      <c r="S116">
        <v>50.913150000000002</v>
      </c>
      <c r="T116">
        <v>-3.64066</v>
      </c>
      <c r="U116">
        <v>45</v>
      </c>
      <c r="V116">
        <v>0.9</v>
      </c>
      <c r="W116">
        <f t="shared" si="1"/>
        <v>12764</v>
      </c>
    </row>
    <row r="117" spans="1:23" x14ac:dyDescent="0.35">
      <c r="A117" t="s">
        <v>70</v>
      </c>
      <c r="B117" t="s">
        <v>93</v>
      </c>
      <c r="C117" t="s">
        <v>502</v>
      </c>
      <c r="D117" t="s">
        <v>503</v>
      </c>
      <c r="E117" t="s">
        <v>504</v>
      </c>
      <c r="F117">
        <v>500</v>
      </c>
      <c r="G117">
        <v>0</v>
      </c>
      <c r="H117" t="s">
        <v>26</v>
      </c>
      <c r="I117" t="s">
        <v>27</v>
      </c>
      <c r="J117">
        <v>2016</v>
      </c>
      <c r="K117" t="s">
        <v>35</v>
      </c>
      <c r="L117" t="s">
        <v>505</v>
      </c>
      <c r="M117">
        <v>17500</v>
      </c>
      <c r="N117">
        <v>0</v>
      </c>
      <c r="O117">
        <v>0</v>
      </c>
      <c r="P117">
        <v>0</v>
      </c>
      <c r="Q117">
        <v>0</v>
      </c>
      <c r="R117">
        <v>17500</v>
      </c>
      <c r="S117">
        <v>53.282559900000003</v>
      </c>
      <c r="T117">
        <v>-2.8782999999999999</v>
      </c>
      <c r="U117">
        <v>45</v>
      </c>
      <c r="V117">
        <v>0.9</v>
      </c>
      <c r="W117">
        <f t="shared" si="1"/>
        <v>17500</v>
      </c>
    </row>
    <row r="118" spans="1:23" x14ac:dyDescent="0.35">
      <c r="A118" t="s">
        <v>30</v>
      </c>
      <c r="B118" t="s">
        <v>31</v>
      </c>
      <c r="C118" t="s">
        <v>506</v>
      </c>
      <c r="D118" t="s">
        <v>507</v>
      </c>
      <c r="E118" t="s">
        <v>508</v>
      </c>
      <c r="F118">
        <v>12000</v>
      </c>
      <c r="G118">
        <v>1100</v>
      </c>
      <c r="H118" t="s">
        <v>34</v>
      </c>
      <c r="I118" t="s">
        <v>27</v>
      </c>
      <c r="J118">
        <v>2014</v>
      </c>
      <c r="K118" t="s">
        <v>28</v>
      </c>
      <c r="L118" t="s">
        <v>509</v>
      </c>
      <c r="M118">
        <v>100000</v>
      </c>
      <c r="N118">
        <v>0</v>
      </c>
      <c r="O118">
        <v>100000</v>
      </c>
      <c r="P118">
        <v>0</v>
      </c>
      <c r="Q118">
        <v>0</v>
      </c>
      <c r="R118">
        <v>0</v>
      </c>
      <c r="S118">
        <v>52.438859999999998</v>
      </c>
      <c r="T118">
        <v>1.60663</v>
      </c>
      <c r="U118">
        <v>45</v>
      </c>
      <c r="V118">
        <v>0.9</v>
      </c>
      <c r="W118">
        <f t="shared" si="1"/>
        <v>100000</v>
      </c>
    </row>
    <row r="119" spans="1:23" x14ac:dyDescent="0.35">
      <c r="A119" t="s">
        <v>48</v>
      </c>
      <c r="B119" t="s">
        <v>234</v>
      </c>
      <c r="C119" t="s">
        <v>510</v>
      </c>
      <c r="D119" t="s">
        <v>511</v>
      </c>
      <c r="E119" t="s">
        <v>512</v>
      </c>
      <c r="F119">
        <v>250</v>
      </c>
      <c r="G119">
        <v>304.14999999999998</v>
      </c>
      <c r="H119" t="s">
        <v>34</v>
      </c>
      <c r="I119" t="s">
        <v>27</v>
      </c>
      <c r="J119">
        <v>2018</v>
      </c>
      <c r="K119" t="s">
        <v>35</v>
      </c>
      <c r="L119" t="s">
        <v>333</v>
      </c>
      <c r="M119">
        <v>60000</v>
      </c>
      <c r="N119">
        <v>0</v>
      </c>
      <c r="O119">
        <v>0</v>
      </c>
      <c r="P119">
        <v>36000</v>
      </c>
      <c r="Q119">
        <v>0</v>
      </c>
      <c r="R119">
        <v>24000</v>
      </c>
      <c r="S119">
        <v>30.677123000000002</v>
      </c>
      <c r="T119">
        <v>-86.901026999999999</v>
      </c>
      <c r="U119">
        <v>45</v>
      </c>
      <c r="V119">
        <v>0.9</v>
      </c>
      <c r="W119">
        <f t="shared" si="1"/>
        <v>60000</v>
      </c>
    </row>
    <row r="120" spans="1:23" x14ac:dyDescent="0.35">
      <c r="A120" t="s">
        <v>30</v>
      </c>
      <c r="B120" t="s">
        <v>31</v>
      </c>
      <c r="C120" t="s">
        <v>141</v>
      </c>
      <c r="D120" t="s">
        <v>513</v>
      </c>
      <c r="E120" t="s">
        <v>514</v>
      </c>
      <c r="F120">
        <v>448</v>
      </c>
      <c r="G120">
        <v>600</v>
      </c>
      <c r="H120" t="s">
        <v>34</v>
      </c>
      <c r="I120" t="s">
        <v>27</v>
      </c>
      <c r="J120">
        <v>2015</v>
      </c>
      <c r="K120" t="s">
        <v>28</v>
      </c>
      <c r="L120" t="s">
        <v>515</v>
      </c>
      <c r="M120">
        <v>65000</v>
      </c>
      <c r="N120">
        <v>8000</v>
      </c>
      <c r="O120">
        <v>57000</v>
      </c>
      <c r="P120">
        <v>0</v>
      </c>
      <c r="Q120">
        <v>0</v>
      </c>
      <c r="R120">
        <v>0</v>
      </c>
      <c r="S120">
        <v>52.36889</v>
      </c>
      <c r="T120">
        <v>0.78456000000000004</v>
      </c>
      <c r="U120">
        <v>45</v>
      </c>
      <c r="V120">
        <v>0.9</v>
      </c>
      <c r="W120">
        <f t="shared" si="1"/>
        <v>65000</v>
      </c>
    </row>
    <row r="121" spans="1:23" x14ac:dyDescent="0.35">
      <c r="A121" t="s">
        <v>163</v>
      </c>
      <c r="B121" t="s">
        <v>293</v>
      </c>
      <c r="C121" t="s">
        <v>516</v>
      </c>
      <c r="D121" t="s">
        <v>517</v>
      </c>
      <c r="E121" t="s">
        <v>518</v>
      </c>
      <c r="F121">
        <v>499</v>
      </c>
      <c r="G121">
        <v>1000</v>
      </c>
      <c r="H121" t="s">
        <v>34</v>
      </c>
      <c r="I121" t="s">
        <v>27</v>
      </c>
      <c r="J121">
        <v>2022</v>
      </c>
      <c r="K121" t="s">
        <v>35</v>
      </c>
      <c r="L121" t="s">
        <v>519</v>
      </c>
      <c r="M121">
        <v>95000</v>
      </c>
      <c r="N121">
        <v>5000</v>
      </c>
      <c r="O121">
        <v>0</v>
      </c>
      <c r="P121">
        <v>90000</v>
      </c>
      <c r="Q121">
        <v>0</v>
      </c>
      <c r="R121">
        <v>0</v>
      </c>
      <c r="S121">
        <v>51.131480000000003</v>
      </c>
      <c r="T121">
        <v>-2.5164200000000001</v>
      </c>
      <c r="U121">
        <v>45</v>
      </c>
      <c r="V121">
        <v>0.9</v>
      </c>
      <c r="W121">
        <f t="shared" si="1"/>
        <v>95000</v>
      </c>
    </row>
    <row r="122" spans="1:23" x14ac:dyDescent="0.35">
      <c r="A122" t="s">
        <v>64</v>
      </c>
      <c r="B122" t="s">
        <v>259</v>
      </c>
      <c r="C122" t="s">
        <v>520</v>
      </c>
      <c r="D122" t="s">
        <v>521</v>
      </c>
      <c r="E122" t="s">
        <v>522</v>
      </c>
      <c r="F122">
        <v>500</v>
      </c>
      <c r="G122">
        <v>0</v>
      </c>
      <c r="H122" t="s">
        <v>26</v>
      </c>
      <c r="I122" t="s">
        <v>27</v>
      </c>
      <c r="J122">
        <v>2016</v>
      </c>
      <c r="K122" t="s">
        <v>35</v>
      </c>
      <c r="L122" t="s">
        <v>523</v>
      </c>
      <c r="M122">
        <v>13000</v>
      </c>
      <c r="N122">
        <v>0</v>
      </c>
      <c r="O122">
        <v>0</v>
      </c>
      <c r="P122">
        <v>13000</v>
      </c>
      <c r="Q122">
        <v>0</v>
      </c>
      <c r="R122">
        <v>0</v>
      </c>
      <c r="S122">
        <v>53.201329999999999</v>
      </c>
      <c r="T122">
        <v>-3.0033599</v>
      </c>
      <c r="U122">
        <v>45</v>
      </c>
      <c r="V122">
        <v>0.9</v>
      </c>
      <c r="W122">
        <f t="shared" si="1"/>
        <v>13000</v>
      </c>
    </row>
    <row r="123" spans="1:23" x14ac:dyDescent="0.35">
      <c r="A123" t="s">
        <v>30</v>
      </c>
      <c r="B123" t="s">
        <v>415</v>
      </c>
      <c r="C123" t="s">
        <v>524</v>
      </c>
      <c r="D123" t="s">
        <v>525</v>
      </c>
      <c r="E123" t="s">
        <v>526</v>
      </c>
      <c r="F123">
        <v>450</v>
      </c>
      <c r="G123">
        <v>550</v>
      </c>
      <c r="H123" t="s">
        <v>34</v>
      </c>
      <c r="I123" t="s">
        <v>27</v>
      </c>
      <c r="J123">
        <v>2017</v>
      </c>
      <c r="K123" t="s">
        <v>28</v>
      </c>
      <c r="L123" t="s">
        <v>527</v>
      </c>
      <c r="M123">
        <v>22000</v>
      </c>
      <c r="N123">
        <v>0</v>
      </c>
      <c r="O123">
        <v>22000</v>
      </c>
      <c r="P123">
        <v>0</v>
      </c>
      <c r="Q123">
        <v>0</v>
      </c>
      <c r="R123">
        <v>0</v>
      </c>
      <c r="S123">
        <v>51.938254000000001</v>
      </c>
      <c r="T123">
        <v>0.81057190000000001</v>
      </c>
      <c r="U123">
        <v>45</v>
      </c>
      <c r="V123">
        <v>0.9</v>
      </c>
      <c r="W123">
        <f t="shared" si="1"/>
        <v>22000</v>
      </c>
    </row>
    <row r="124" spans="1:23" x14ac:dyDescent="0.35">
      <c r="A124" t="s">
        <v>70</v>
      </c>
      <c r="B124" t="s">
        <v>528</v>
      </c>
      <c r="C124" t="s">
        <v>529</v>
      </c>
      <c r="D124" t="s">
        <v>530</v>
      </c>
      <c r="E124" t="s">
        <v>531</v>
      </c>
      <c r="F124">
        <v>1900</v>
      </c>
      <c r="G124">
        <v>0</v>
      </c>
      <c r="H124" t="s">
        <v>26</v>
      </c>
      <c r="I124" t="s">
        <v>27</v>
      </c>
      <c r="J124">
        <v>2010</v>
      </c>
      <c r="K124" t="s">
        <v>35</v>
      </c>
      <c r="L124" t="s">
        <v>53</v>
      </c>
      <c r="M124">
        <v>105000</v>
      </c>
      <c r="N124">
        <v>0</v>
      </c>
      <c r="O124">
        <v>0</v>
      </c>
      <c r="P124">
        <v>61000</v>
      </c>
      <c r="Q124">
        <v>0</v>
      </c>
      <c r="R124">
        <v>44000</v>
      </c>
      <c r="S124">
        <v>53.709090000000003</v>
      </c>
      <c r="T124">
        <v>-2.70234</v>
      </c>
      <c r="U124">
        <v>45</v>
      </c>
      <c r="V124">
        <v>0.9</v>
      </c>
      <c r="W124">
        <f t="shared" si="1"/>
        <v>105000</v>
      </c>
    </row>
    <row r="125" spans="1:23" x14ac:dyDescent="0.35">
      <c r="A125" t="s">
        <v>76</v>
      </c>
      <c r="B125" t="s">
        <v>300</v>
      </c>
      <c r="C125" t="s">
        <v>532</v>
      </c>
      <c r="D125" t="s">
        <v>533</v>
      </c>
      <c r="E125" t="s">
        <v>534</v>
      </c>
      <c r="F125">
        <v>495</v>
      </c>
      <c r="G125">
        <v>550</v>
      </c>
      <c r="H125" t="s">
        <v>34</v>
      </c>
      <c r="I125" t="s">
        <v>27</v>
      </c>
      <c r="J125">
        <v>2012</v>
      </c>
      <c r="K125" t="s">
        <v>28</v>
      </c>
      <c r="L125" t="s">
        <v>535</v>
      </c>
      <c r="M125">
        <v>40500</v>
      </c>
      <c r="N125">
        <v>0</v>
      </c>
      <c r="O125">
        <v>40500</v>
      </c>
      <c r="P125">
        <v>0</v>
      </c>
      <c r="Q125">
        <v>0</v>
      </c>
      <c r="R125">
        <v>0</v>
      </c>
      <c r="S125">
        <v>51.22345</v>
      </c>
      <c r="T125">
        <v>-1.41215</v>
      </c>
      <c r="U125">
        <v>45</v>
      </c>
      <c r="V125">
        <v>0.9</v>
      </c>
      <c r="W125">
        <f t="shared" si="1"/>
        <v>40500</v>
      </c>
    </row>
    <row r="126" spans="1:23" x14ac:dyDescent="0.35">
      <c r="A126" t="s">
        <v>58</v>
      </c>
      <c r="B126" t="s">
        <v>536</v>
      </c>
      <c r="C126" t="s">
        <v>537</v>
      </c>
      <c r="D126" t="s">
        <v>538</v>
      </c>
      <c r="E126" t="s">
        <v>539</v>
      </c>
      <c r="F126">
        <v>1519</v>
      </c>
      <c r="G126">
        <v>0</v>
      </c>
      <c r="H126" t="s">
        <v>26</v>
      </c>
      <c r="I126" t="s">
        <v>27</v>
      </c>
      <c r="J126">
        <v>2010</v>
      </c>
      <c r="K126" t="s">
        <v>35</v>
      </c>
      <c r="L126" t="s">
        <v>85</v>
      </c>
      <c r="M126">
        <v>49000</v>
      </c>
      <c r="N126">
        <v>0</v>
      </c>
      <c r="O126">
        <v>0</v>
      </c>
      <c r="P126">
        <v>49000</v>
      </c>
      <c r="Q126">
        <v>0</v>
      </c>
      <c r="R126">
        <v>0</v>
      </c>
      <c r="S126">
        <v>52.410805966666672</v>
      </c>
      <c r="T126">
        <v>-0.76449973333333332</v>
      </c>
      <c r="U126">
        <v>45</v>
      </c>
      <c r="V126">
        <v>0.9</v>
      </c>
      <c r="W126">
        <f t="shared" si="1"/>
        <v>49000</v>
      </c>
    </row>
    <row r="127" spans="1:23" x14ac:dyDescent="0.35">
      <c r="A127" t="s">
        <v>76</v>
      </c>
      <c r="B127" t="s">
        <v>182</v>
      </c>
      <c r="C127" t="s">
        <v>540</v>
      </c>
      <c r="D127" t="s">
        <v>541</v>
      </c>
      <c r="E127" t="s">
        <v>542</v>
      </c>
      <c r="F127">
        <v>400</v>
      </c>
      <c r="G127">
        <v>0</v>
      </c>
      <c r="H127" t="s">
        <v>26</v>
      </c>
      <c r="I127" t="s">
        <v>27</v>
      </c>
      <c r="J127">
        <v>2018</v>
      </c>
      <c r="K127" t="s">
        <v>28</v>
      </c>
      <c r="L127" t="s">
        <v>543</v>
      </c>
      <c r="M127">
        <v>15552</v>
      </c>
      <c r="N127">
        <v>8632</v>
      </c>
      <c r="O127">
        <v>6920</v>
      </c>
      <c r="P127">
        <v>0</v>
      </c>
      <c r="Q127">
        <v>0</v>
      </c>
      <c r="R127">
        <v>0</v>
      </c>
      <c r="S127">
        <v>51.067405600000001</v>
      </c>
      <c r="T127">
        <v>0.5445103</v>
      </c>
      <c r="U127">
        <v>45</v>
      </c>
      <c r="V127">
        <v>0.9</v>
      </c>
      <c r="W127">
        <f t="shared" si="1"/>
        <v>15552</v>
      </c>
    </row>
    <row r="128" spans="1:23" x14ac:dyDescent="0.35">
      <c r="A128" t="s">
        <v>70</v>
      </c>
      <c r="B128" t="s">
        <v>544</v>
      </c>
      <c r="C128" t="s">
        <v>545</v>
      </c>
      <c r="D128" t="s">
        <v>546</v>
      </c>
      <c r="E128" t="s">
        <v>547</v>
      </c>
      <c r="F128">
        <v>499</v>
      </c>
      <c r="G128">
        <v>0</v>
      </c>
      <c r="H128" t="s">
        <v>26</v>
      </c>
      <c r="I128" t="s">
        <v>27</v>
      </c>
      <c r="J128">
        <v>2014</v>
      </c>
      <c r="K128" t="s">
        <v>35</v>
      </c>
      <c r="L128" t="s">
        <v>548</v>
      </c>
      <c r="M128">
        <v>25000</v>
      </c>
      <c r="N128">
        <v>0</v>
      </c>
      <c r="O128">
        <v>0</v>
      </c>
      <c r="P128">
        <v>0</v>
      </c>
      <c r="Q128">
        <v>0</v>
      </c>
      <c r="R128">
        <v>25000</v>
      </c>
      <c r="S128">
        <v>53.432699900000003</v>
      </c>
      <c r="T128">
        <v>-2.9912700000000001</v>
      </c>
      <c r="U128">
        <v>45</v>
      </c>
      <c r="V128">
        <v>0.9</v>
      </c>
      <c r="W128">
        <f t="shared" si="1"/>
        <v>25000</v>
      </c>
    </row>
    <row r="129" spans="1:23" x14ac:dyDescent="0.35">
      <c r="A129" t="s">
        <v>48</v>
      </c>
      <c r="B129" t="s">
        <v>221</v>
      </c>
      <c r="C129" t="s">
        <v>549</v>
      </c>
      <c r="D129" t="s">
        <v>550</v>
      </c>
      <c r="E129" t="s">
        <v>551</v>
      </c>
      <c r="F129">
        <v>1189</v>
      </c>
      <c r="G129">
        <v>0</v>
      </c>
      <c r="H129" t="s">
        <v>26</v>
      </c>
      <c r="I129" t="s">
        <v>27</v>
      </c>
      <c r="J129">
        <v>2016</v>
      </c>
      <c r="K129" t="s">
        <v>35</v>
      </c>
      <c r="L129" t="s">
        <v>552</v>
      </c>
      <c r="M129">
        <v>18615</v>
      </c>
      <c r="N129">
        <v>0</v>
      </c>
      <c r="O129">
        <v>0</v>
      </c>
      <c r="P129">
        <v>0</v>
      </c>
      <c r="Q129">
        <v>0</v>
      </c>
      <c r="R129">
        <v>18615</v>
      </c>
      <c r="S129">
        <v>53.609142200000001</v>
      </c>
      <c r="T129">
        <v>-0.66335639999999996</v>
      </c>
      <c r="U129">
        <v>45</v>
      </c>
      <c r="V129">
        <v>0.9</v>
      </c>
      <c r="W129">
        <f t="shared" si="1"/>
        <v>18615</v>
      </c>
    </row>
    <row r="130" spans="1:23" x14ac:dyDescent="0.35">
      <c r="A130" t="s">
        <v>22</v>
      </c>
      <c r="B130" t="s">
        <v>23</v>
      </c>
      <c r="C130" t="s">
        <v>553</v>
      </c>
      <c r="D130" t="s">
        <v>554</v>
      </c>
      <c r="E130" t="s">
        <v>555</v>
      </c>
      <c r="F130">
        <v>484</v>
      </c>
      <c r="G130">
        <v>0</v>
      </c>
      <c r="H130" t="s">
        <v>26</v>
      </c>
      <c r="I130" t="s">
        <v>27</v>
      </c>
      <c r="J130">
        <v>2014</v>
      </c>
      <c r="K130" t="s">
        <v>28</v>
      </c>
      <c r="L130" t="s">
        <v>176</v>
      </c>
      <c r="M130">
        <v>20000</v>
      </c>
      <c r="N130">
        <v>0</v>
      </c>
      <c r="O130">
        <v>20000</v>
      </c>
      <c r="P130">
        <v>0</v>
      </c>
      <c r="Q130">
        <v>0</v>
      </c>
      <c r="R130">
        <v>0</v>
      </c>
      <c r="S130">
        <v>52.771790000000003</v>
      </c>
      <c r="T130">
        <v>-2.87819</v>
      </c>
      <c r="U130">
        <v>45</v>
      </c>
      <c r="V130">
        <v>0.9</v>
      </c>
      <c r="W130">
        <f t="shared" si="1"/>
        <v>20000</v>
      </c>
    </row>
    <row r="131" spans="1:23" x14ac:dyDescent="0.35">
      <c r="A131" t="s">
        <v>163</v>
      </c>
      <c r="B131" t="s">
        <v>556</v>
      </c>
      <c r="C131" t="s">
        <v>557</v>
      </c>
      <c r="D131" t="s">
        <v>558</v>
      </c>
      <c r="E131" t="s">
        <v>559</v>
      </c>
      <c r="F131">
        <v>237</v>
      </c>
      <c r="G131">
        <v>330</v>
      </c>
      <c r="H131" t="s">
        <v>34</v>
      </c>
      <c r="I131" t="s">
        <v>27</v>
      </c>
      <c r="J131">
        <v>2014</v>
      </c>
      <c r="K131" t="s">
        <v>28</v>
      </c>
      <c r="L131" t="s">
        <v>560</v>
      </c>
      <c r="M131">
        <v>35000</v>
      </c>
      <c r="N131">
        <v>20000</v>
      </c>
      <c r="O131">
        <v>0</v>
      </c>
      <c r="P131">
        <v>15000</v>
      </c>
      <c r="Q131">
        <v>0</v>
      </c>
      <c r="R131">
        <v>0</v>
      </c>
      <c r="S131">
        <v>50.386780000000002</v>
      </c>
      <c r="T131">
        <v>-4.93025</v>
      </c>
      <c r="U131">
        <v>45</v>
      </c>
      <c r="V131">
        <v>0.9</v>
      </c>
      <c r="W131">
        <f t="shared" ref="W131:W194" si="2">M131</f>
        <v>35000</v>
      </c>
    </row>
    <row r="132" spans="1:23" x14ac:dyDescent="0.35">
      <c r="A132" t="s">
        <v>30</v>
      </c>
      <c r="B132" t="s">
        <v>415</v>
      </c>
      <c r="C132" t="s">
        <v>187</v>
      </c>
      <c r="D132" t="s">
        <v>561</v>
      </c>
      <c r="E132" t="s">
        <v>562</v>
      </c>
      <c r="F132">
        <v>4000</v>
      </c>
      <c r="G132">
        <v>0</v>
      </c>
      <c r="H132" t="s">
        <v>26</v>
      </c>
      <c r="I132" t="s">
        <v>27</v>
      </c>
      <c r="J132">
        <v>2013</v>
      </c>
      <c r="K132" t="s">
        <v>35</v>
      </c>
      <c r="L132" t="s">
        <v>85</v>
      </c>
      <c r="M132">
        <v>100000</v>
      </c>
      <c r="N132">
        <v>0</v>
      </c>
      <c r="O132">
        <v>0</v>
      </c>
      <c r="P132">
        <v>100000</v>
      </c>
      <c r="Q132">
        <v>0</v>
      </c>
      <c r="R132">
        <v>0</v>
      </c>
      <c r="S132">
        <v>51.508479999999999</v>
      </c>
      <c r="T132">
        <v>0.17280000000000001</v>
      </c>
      <c r="U132">
        <v>45</v>
      </c>
      <c r="V132">
        <v>0.9</v>
      </c>
      <c r="W132">
        <f t="shared" si="2"/>
        <v>100000</v>
      </c>
    </row>
    <row r="133" spans="1:23" x14ac:dyDescent="0.35">
      <c r="A133" t="s">
        <v>70</v>
      </c>
      <c r="B133" t="s">
        <v>93</v>
      </c>
      <c r="C133" t="s">
        <v>563</v>
      </c>
      <c r="D133" t="s">
        <v>564</v>
      </c>
      <c r="E133" t="s">
        <v>565</v>
      </c>
      <c r="F133">
        <v>250</v>
      </c>
      <c r="G133">
        <v>450</v>
      </c>
      <c r="H133" t="s">
        <v>373</v>
      </c>
      <c r="I133" t="s">
        <v>27</v>
      </c>
      <c r="J133">
        <v>2021</v>
      </c>
      <c r="K133" t="s">
        <v>28</v>
      </c>
      <c r="L133" t="s">
        <v>566</v>
      </c>
      <c r="M133">
        <v>36000</v>
      </c>
      <c r="N133">
        <v>0</v>
      </c>
      <c r="O133">
        <v>0</v>
      </c>
      <c r="P133">
        <v>0</v>
      </c>
      <c r="Q133">
        <v>36000</v>
      </c>
      <c r="R133">
        <v>0</v>
      </c>
      <c r="S133">
        <v>53.279150000000001</v>
      </c>
      <c r="T133">
        <v>-2.8700700000000001</v>
      </c>
      <c r="U133">
        <v>45</v>
      </c>
      <c r="V133">
        <v>0.9</v>
      </c>
      <c r="W133">
        <f t="shared" si="2"/>
        <v>36000</v>
      </c>
    </row>
    <row r="134" spans="1:23" x14ac:dyDescent="0.35">
      <c r="A134" t="s">
        <v>102</v>
      </c>
      <c r="B134" t="s">
        <v>432</v>
      </c>
      <c r="C134" t="s">
        <v>567</v>
      </c>
      <c r="D134" t="s">
        <v>568</v>
      </c>
      <c r="E134" t="s">
        <v>569</v>
      </c>
      <c r="F134">
        <v>460</v>
      </c>
      <c r="G134">
        <v>0</v>
      </c>
      <c r="H134" t="s">
        <v>26</v>
      </c>
      <c r="I134" t="s">
        <v>27</v>
      </c>
      <c r="J134">
        <v>2006</v>
      </c>
      <c r="K134" t="s">
        <v>28</v>
      </c>
      <c r="L134" t="s">
        <v>570</v>
      </c>
      <c r="M134">
        <v>15000</v>
      </c>
      <c r="N134">
        <v>12000</v>
      </c>
      <c r="O134">
        <v>0</v>
      </c>
      <c r="P134">
        <v>0</v>
      </c>
      <c r="Q134">
        <v>0</v>
      </c>
      <c r="R134">
        <v>3000</v>
      </c>
      <c r="S134">
        <v>57.516719999999999</v>
      </c>
      <c r="T134">
        <v>-2.4474300000000002</v>
      </c>
      <c r="U134">
        <v>45</v>
      </c>
      <c r="V134">
        <v>0.9</v>
      </c>
      <c r="W134">
        <f t="shared" si="2"/>
        <v>15000</v>
      </c>
    </row>
    <row r="135" spans="1:23" x14ac:dyDescent="0.35">
      <c r="A135" t="s">
        <v>163</v>
      </c>
      <c r="B135" t="s">
        <v>571</v>
      </c>
      <c r="C135" t="s">
        <v>572</v>
      </c>
      <c r="D135" t="s">
        <v>573</v>
      </c>
      <c r="E135" t="s">
        <v>574</v>
      </c>
      <c r="F135">
        <v>1750</v>
      </c>
      <c r="G135">
        <v>1375</v>
      </c>
      <c r="H135" t="s">
        <v>34</v>
      </c>
      <c r="I135" t="s">
        <v>27</v>
      </c>
      <c r="J135">
        <v>2012</v>
      </c>
      <c r="K135" t="s">
        <v>35</v>
      </c>
      <c r="L135" t="s">
        <v>85</v>
      </c>
      <c r="M135">
        <v>60000</v>
      </c>
      <c r="N135">
        <v>0</v>
      </c>
      <c r="O135">
        <v>0</v>
      </c>
      <c r="P135">
        <v>60000</v>
      </c>
      <c r="Q135">
        <v>0</v>
      </c>
      <c r="R135">
        <v>0</v>
      </c>
      <c r="S135">
        <v>51.512720666666667</v>
      </c>
      <c r="T135">
        <v>-2.6728860666666669</v>
      </c>
      <c r="U135">
        <v>45</v>
      </c>
      <c r="V135">
        <v>0.9</v>
      </c>
      <c r="W135">
        <f t="shared" si="2"/>
        <v>60000</v>
      </c>
    </row>
    <row r="136" spans="1:23" x14ac:dyDescent="0.35">
      <c r="A136" t="s">
        <v>102</v>
      </c>
      <c r="B136" t="s">
        <v>103</v>
      </c>
      <c r="C136" t="s">
        <v>575</v>
      </c>
      <c r="D136" t="s">
        <v>576</v>
      </c>
      <c r="E136" t="s">
        <v>577</v>
      </c>
      <c r="F136">
        <v>225</v>
      </c>
      <c r="G136">
        <v>0</v>
      </c>
      <c r="H136" t="s">
        <v>26</v>
      </c>
      <c r="I136" t="s">
        <v>27</v>
      </c>
      <c r="J136">
        <v>2014</v>
      </c>
      <c r="K136" t="s">
        <v>28</v>
      </c>
      <c r="L136" t="s">
        <v>578</v>
      </c>
      <c r="M136">
        <v>17500</v>
      </c>
      <c r="N136">
        <v>16500</v>
      </c>
      <c r="O136">
        <v>1000</v>
      </c>
      <c r="P136">
        <v>0</v>
      </c>
      <c r="Q136">
        <v>0</v>
      </c>
      <c r="R136">
        <v>0</v>
      </c>
      <c r="S136">
        <v>54.867919999999998</v>
      </c>
      <c r="T136">
        <v>-4.9046099999999999</v>
      </c>
      <c r="U136">
        <v>45</v>
      </c>
      <c r="V136">
        <v>0.9</v>
      </c>
      <c r="W136">
        <f t="shared" si="2"/>
        <v>17500</v>
      </c>
    </row>
    <row r="137" spans="1:23" x14ac:dyDescent="0.35">
      <c r="A137" t="s">
        <v>102</v>
      </c>
      <c r="B137" t="s">
        <v>103</v>
      </c>
      <c r="C137" t="s">
        <v>575</v>
      </c>
      <c r="D137" t="s">
        <v>579</v>
      </c>
      <c r="E137" t="s">
        <v>577</v>
      </c>
      <c r="F137">
        <v>237</v>
      </c>
      <c r="G137">
        <v>0</v>
      </c>
      <c r="H137" t="s">
        <v>26</v>
      </c>
      <c r="I137" t="s">
        <v>27</v>
      </c>
      <c r="J137">
        <v>2015</v>
      </c>
      <c r="K137" t="s">
        <v>28</v>
      </c>
      <c r="L137" t="s">
        <v>578</v>
      </c>
      <c r="M137">
        <v>17500</v>
      </c>
      <c r="N137">
        <v>16500</v>
      </c>
      <c r="O137">
        <v>1000</v>
      </c>
      <c r="P137">
        <v>0</v>
      </c>
      <c r="Q137">
        <v>0</v>
      </c>
      <c r="R137">
        <v>0</v>
      </c>
      <c r="S137">
        <v>54.867919999999998</v>
      </c>
      <c r="T137">
        <v>-4.9046099999999999</v>
      </c>
      <c r="U137">
        <v>45</v>
      </c>
      <c r="V137">
        <v>0.9</v>
      </c>
      <c r="W137">
        <f t="shared" si="2"/>
        <v>17500</v>
      </c>
    </row>
    <row r="138" spans="1:23" x14ac:dyDescent="0.35">
      <c r="A138" t="s">
        <v>102</v>
      </c>
      <c r="B138" t="s">
        <v>103</v>
      </c>
      <c r="C138" t="s">
        <v>580</v>
      </c>
      <c r="D138" t="s">
        <v>581</v>
      </c>
      <c r="E138" t="s">
        <v>582</v>
      </c>
      <c r="F138">
        <v>7200</v>
      </c>
      <c r="G138">
        <v>2750</v>
      </c>
      <c r="H138" t="s">
        <v>34</v>
      </c>
      <c r="I138" t="s">
        <v>27</v>
      </c>
      <c r="J138">
        <v>2009</v>
      </c>
      <c r="K138" t="s">
        <v>35</v>
      </c>
      <c r="L138" t="s">
        <v>320</v>
      </c>
      <c r="M138">
        <v>300000</v>
      </c>
      <c r="N138">
        <v>0</v>
      </c>
      <c r="O138">
        <v>0</v>
      </c>
      <c r="P138">
        <v>0</v>
      </c>
      <c r="Q138">
        <v>0</v>
      </c>
      <c r="R138">
        <v>300000</v>
      </c>
      <c r="S138">
        <v>55.263190000000002</v>
      </c>
      <c r="T138">
        <v>-4.8326799999999999</v>
      </c>
      <c r="U138">
        <v>45</v>
      </c>
      <c r="V138">
        <v>0.9</v>
      </c>
      <c r="W138">
        <f t="shared" si="2"/>
        <v>300000</v>
      </c>
    </row>
    <row r="139" spans="1:23" x14ac:dyDescent="0.35">
      <c r="A139" t="s">
        <v>102</v>
      </c>
      <c r="B139" t="s">
        <v>103</v>
      </c>
      <c r="C139" t="s">
        <v>364</v>
      </c>
      <c r="D139" t="s">
        <v>583</v>
      </c>
      <c r="E139" t="s">
        <v>584</v>
      </c>
      <c r="F139">
        <v>4000</v>
      </c>
      <c r="G139">
        <v>0</v>
      </c>
      <c r="H139" t="s">
        <v>26</v>
      </c>
      <c r="I139" t="s">
        <v>27</v>
      </c>
      <c r="J139">
        <v>2016</v>
      </c>
      <c r="K139" t="s">
        <v>35</v>
      </c>
      <c r="L139" t="s">
        <v>85</v>
      </c>
      <c r="M139">
        <v>100000</v>
      </c>
      <c r="N139">
        <v>0</v>
      </c>
      <c r="O139">
        <v>0</v>
      </c>
      <c r="P139">
        <v>100000</v>
      </c>
      <c r="Q139">
        <v>0</v>
      </c>
      <c r="R139">
        <v>0</v>
      </c>
      <c r="S139">
        <v>55.8333096</v>
      </c>
      <c r="T139">
        <v>-4.2459568000000001</v>
      </c>
      <c r="U139">
        <v>45</v>
      </c>
      <c r="V139">
        <v>0.9</v>
      </c>
      <c r="W139">
        <f t="shared" si="2"/>
        <v>100000</v>
      </c>
    </row>
    <row r="140" spans="1:23" x14ac:dyDescent="0.35">
      <c r="A140" t="s">
        <v>102</v>
      </c>
      <c r="B140" t="s">
        <v>432</v>
      </c>
      <c r="C140" t="s">
        <v>280</v>
      </c>
      <c r="D140" t="s">
        <v>585</v>
      </c>
      <c r="E140" t="s">
        <v>586</v>
      </c>
      <c r="F140">
        <v>500</v>
      </c>
      <c r="G140">
        <v>0</v>
      </c>
      <c r="H140" t="s">
        <v>26</v>
      </c>
      <c r="I140" t="s">
        <v>27</v>
      </c>
      <c r="J140">
        <v>2015</v>
      </c>
      <c r="K140" t="s">
        <v>35</v>
      </c>
      <c r="L140" t="s">
        <v>283</v>
      </c>
      <c r="M140">
        <v>15000</v>
      </c>
      <c r="N140">
        <v>0</v>
      </c>
      <c r="O140">
        <v>0</v>
      </c>
      <c r="P140">
        <v>0</v>
      </c>
      <c r="Q140">
        <v>0</v>
      </c>
      <c r="R140">
        <v>15000</v>
      </c>
      <c r="S140">
        <v>57.447929999999999</v>
      </c>
      <c r="T140">
        <v>-3.1183000000000001</v>
      </c>
      <c r="U140">
        <v>45</v>
      </c>
      <c r="V140">
        <v>0.9</v>
      </c>
      <c r="W140">
        <f t="shared" si="2"/>
        <v>15000</v>
      </c>
    </row>
    <row r="141" spans="1:23" x14ac:dyDescent="0.35">
      <c r="A141" t="s">
        <v>102</v>
      </c>
      <c r="B141" t="s">
        <v>587</v>
      </c>
      <c r="C141" t="s">
        <v>588</v>
      </c>
      <c r="D141" t="s">
        <v>589</v>
      </c>
      <c r="E141" t="s">
        <v>590</v>
      </c>
      <c r="F141">
        <v>3500</v>
      </c>
      <c r="G141">
        <v>1500</v>
      </c>
      <c r="H141" t="s">
        <v>373</v>
      </c>
      <c r="I141" t="s">
        <v>27</v>
      </c>
      <c r="J141">
        <v>2015</v>
      </c>
      <c r="K141" t="s">
        <v>35</v>
      </c>
      <c r="L141" t="s">
        <v>591</v>
      </c>
      <c r="M141">
        <v>80000</v>
      </c>
      <c r="N141">
        <v>0</v>
      </c>
      <c r="O141">
        <v>0</v>
      </c>
      <c r="P141">
        <v>0</v>
      </c>
      <c r="Q141">
        <v>0</v>
      </c>
      <c r="R141">
        <v>80000</v>
      </c>
      <c r="S141">
        <v>57.455111899999999</v>
      </c>
      <c r="T141">
        <v>-3.1287430999999999</v>
      </c>
      <c r="U141">
        <v>45</v>
      </c>
      <c r="V141">
        <v>0.9</v>
      </c>
      <c r="W141">
        <f t="shared" si="2"/>
        <v>80000</v>
      </c>
    </row>
    <row r="142" spans="1:23" x14ac:dyDescent="0.35">
      <c r="A142" t="s">
        <v>102</v>
      </c>
      <c r="B142" t="s">
        <v>587</v>
      </c>
      <c r="C142" t="s">
        <v>592</v>
      </c>
      <c r="D142" t="s">
        <v>593</v>
      </c>
      <c r="E142" t="s">
        <v>594</v>
      </c>
      <c r="F142" t="s">
        <v>46</v>
      </c>
      <c r="G142">
        <v>0</v>
      </c>
      <c r="H142" t="s">
        <v>595</v>
      </c>
      <c r="I142" t="s">
        <v>27</v>
      </c>
      <c r="J142">
        <v>2015</v>
      </c>
      <c r="K142" t="s">
        <v>35</v>
      </c>
      <c r="L142" t="s">
        <v>283</v>
      </c>
      <c r="M142">
        <v>50000</v>
      </c>
      <c r="N142">
        <v>0</v>
      </c>
      <c r="O142">
        <v>0</v>
      </c>
      <c r="P142">
        <v>0</v>
      </c>
      <c r="Q142">
        <v>0</v>
      </c>
      <c r="R142">
        <v>50000</v>
      </c>
      <c r="S142">
        <v>57.823459999999997</v>
      </c>
      <c r="T142">
        <v>-4.0770299999999997</v>
      </c>
      <c r="U142">
        <v>45</v>
      </c>
      <c r="V142">
        <v>0.9</v>
      </c>
      <c r="W142">
        <f t="shared" si="2"/>
        <v>50000</v>
      </c>
    </row>
    <row r="143" spans="1:23" x14ac:dyDescent="0.35">
      <c r="A143" t="s">
        <v>37</v>
      </c>
      <c r="B143" t="s">
        <v>149</v>
      </c>
      <c r="C143" t="s">
        <v>596</v>
      </c>
      <c r="D143" t="s">
        <v>597</v>
      </c>
      <c r="E143" t="s">
        <v>598</v>
      </c>
      <c r="F143">
        <v>500</v>
      </c>
      <c r="G143">
        <v>0</v>
      </c>
      <c r="H143" t="s">
        <v>26</v>
      </c>
      <c r="I143" t="s">
        <v>27</v>
      </c>
      <c r="J143">
        <v>2014</v>
      </c>
      <c r="K143" t="s">
        <v>28</v>
      </c>
      <c r="L143" t="s">
        <v>599</v>
      </c>
      <c r="M143">
        <v>21900</v>
      </c>
      <c r="N143">
        <v>14600</v>
      </c>
      <c r="O143">
        <v>7300</v>
      </c>
      <c r="P143">
        <v>0</v>
      </c>
      <c r="Q143">
        <v>0</v>
      </c>
      <c r="R143">
        <v>0</v>
      </c>
      <c r="S143">
        <v>50.8423607</v>
      </c>
      <c r="T143">
        <v>-8.935853072619207E-2</v>
      </c>
      <c r="U143">
        <v>45</v>
      </c>
      <c r="V143">
        <v>0.9</v>
      </c>
      <c r="W143">
        <f t="shared" si="2"/>
        <v>21900</v>
      </c>
    </row>
    <row r="144" spans="1:23" x14ac:dyDescent="0.35">
      <c r="A144" t="s">
        <v>163</v>
      </c>
      <c r="B144" t="s">
        <v>358</v>
      </c>
      <c r="C144" t="s">
        <v>382</v>
      </c>
      <c r="D144" t="s">
        <v>600</v>
      </c>
      <c r="E144" t="s">
        <v>601</v>
      </c>
      <c r="F144">
        <v>500</v>
      </c>
      <c r="G144">
        <v>400</v>
      </c>
      <c r="H144" t="s">
        <v>34</v>
      </c>
      <c r="I144" t="s">
        <v>27</v>
      </c>
      <c r="J144">
        <v>2015</v>
      </c>
      <c r="K144" t="s">
        <v>28</v>
      </c>
      <c r="L144" t="s">
        <v>602</v>
      </c>
      <c r="M144">
        <v>66171</v>
      </c>
      <c r="N144">
        <v>30882</v>
      </c>
      <c r="O144">
        <v>35289</v>
      </c>
      <c r="P144">
        <v>0</v>
      </c>
      <c r="Q144">
        <v>0</v>
      </c>
      <c r="R144">
        <v>0</v>
      </c>
      <c r="S144">
        <v>50.707729999999998</v>
      </c>
      <c r="T144">
        <v>-3.44062</v>
      </c>
      <c r="U144">
        <v>45</v>
      </c>
      <c r="V144">
        <v>0.9</v>
      </c>
      <c r="W144">
        <f t="shared" si="2"/>
        <v>66171</v>
      </c>
    </row>
    <row r="145" spans="1:23" x14ac:dyDescent="0.35">
      <c r="A145" t="s">
        <v>30</v>
      </c>
      <c r="B145" t="s">
        <v>288</v>
      </c>
      <c r="C145" t="s">
        <v>343</v>
      </c>
      <c r="D145" t="s">
        <v>603</v>
      </c>
      <c r="E145" t="s">
        <v>604</v>
      </c>
      <c r="F145">
        <v>475</v>
      </c>
      <c r="G145">
        <v>0</v>
      </c>
      <c r="H145" t="s">
        <v>26</v>
      </c>
      <c r="I145" t="s">
        <v>27</v>
      </c>
      <c r="J145">
        <v>2014</v>
      </c>
      <c r="K145" t="s">
        <v>28</v>
      </c>
      <c r="L145" t="s">
        <v>605</v>
      </c>
      <c r="M145">
        <v>11800</v>
      </c>
      <c r="N145">
        <v>5500</v>
      </c>
      <c r="O145">
        <v>6300</v>
      </c>
      <c r="P145">
        <v>0</v>
      </c>
      <c r="Q145">
        <v>0</v>
      </c>
      <c r="R145">
        <v>0</v>
      </c>
      <c r="S145">
        <v>52.48771</v>
      </c>
      <c r="T145">
        <v>0.94274000000000002</v>
      </c>
      <c r="U145">
        <v>45</v>
      </c>
      <c r="V145">
        <v>0.9</v>
      </c>
      <c r="W145">
        <f t="shared" si="2"/>
        <v>11800</v>
      </c>
    </row>
    <row r="146" spans="1:23" x14ac:dyDescent="0.35">
      <c r="A146" t="s">
        <v>58</v>
      </c>
      <c r="B146" t="s">
        <v>59</v>
      </c>
      <c r="C146" t="s">
        <v>606</v>
      </c>
      <c r="D146" t="s">
        <v>607</v>
      </c>
      <c r="E146" t="s">
        <v>608</v>
      </c>
      <c r="F146">
        <v>237</v>
      </c>
      <c r="G146">
        <v>0</v>
      </c>
      <c r="H146" t="s">
        <v>26</v>
      </c>
      <c r="I146" t="s">
        <v>27</v>
      </c>
      <c r="J146">
        <v>2014</v>
      </c>
      <c r="K146" t="s">
        <v>28</v>
      </c>
      <c r="L146" t="s">
        <v>609</v>
      </c>
      <c r="M146">
        <v>13925</v>
      </c>
      <c r="N146">
        <v>11175</v>
      </c>
      <c r="O146">
        <v>2750</v>
      </c>
      <c r="P146">
        <v>0</v>
      </c>
      <c r="Q146">
        <v>0</v>
      </c>
      <c r="R146">
        <v>0</v>
      </c>
      <c r="S146">
        <v>53.130560000000003</v>
      </c>
      <c r="T146">
        <v>8.8419999999999999E-2</v>
      </c>
      <c r="U146">
        <v>45</v>
      </c>
      <c r="V146">
        <v>0.9</v>
      </c>
      <c r="W146">
        <f t="shared" si="2"/>
        <v>13925</v>
      </c>
    </row>
    <row r="147" spans="1:23" x14ac:dyDescent="0.35">
      <c r="A147" t="s">
        <v>58</v>
      </c>
      <c r="B147" t="s">
        <v>59</v>
      </c>
      <c r="C147" t="s">
        <v>610</v>
      </c>
      <c r="D147" t="s">
        <v>611</v>
      </c>
      <c r="E147" t="s">
        <v>612</v>
      </c>
      <c r="F147">
        <v>500</v>
      </c>
      <c r="G147">
        <v>495.00000000000011</v>
      </c>
      <c r="H147" t="s">
        <v>34</v>
      </c>
      <c r="I147" t="s">
        <v>27</v>
      </c>
      <c r="J147">
        <v>2014</v>
      </c>
      <c r="K147" t="s">
        <v>28</v>
      </c>
      <c r="L147" t="s">
        <v>613</v>
      </c>
      <c r="M147">
        <v>22500</v>
      </c>
      <c r="N147">
        <v>0</v>
      </c>
      <c r="O147">
        <v>22500</v>
      </c>
      <c r="P147">
        <v>0</v>
      </c>
      <c r="Q147">
        <v>0</v>
      </c>
      <c r="R147">
        <v>0</v>
      </c>
      <c r="S147">
        <v>53.342939999999999</v>
      </c>
      <c r="T147">
        <v>-0.53149999999999997</v>
      </c>
      <c r="U147">
        <v>45</v>
      </c>
      <c r="V147">
        <v>0.9</v>
      </c>
      <c r="W147">
        <f t="shared" si="2"/>
        <v>22500</v>
      </c>
    </row>
    <row r="148" spans="1:23" x14ac:dyDescent="0.35">
      <c r="A148" t="s">
        <v>76</v>
      </c>
      <c r="B148" t="s">
        <v>120</v>
      </c>
      <c r="C148" t="s">
        <v>614</v>
      </c>
      <c r="D148" t="s">
        <v>615</v>
      </c>
      <c r="E148" t="s">
        <v>616</v>
      </c>
      <c r="F148">
        <v>490</v>
      </c>
      <c r="G148">
        <v>0</v>
      </c>
      <c r="H148" t="s">
        <v>26</v>
      </c>
      <c r="I148" t="s">
        <v>27</v>
      </c>
      <c r="J148">
        <v>2014</v>
      </c>
      <c r="K148" t="s">
        <v>28</v>
      </c>
      <c r="L148" t="s">
        <v>617</v>
      </c>
      <c r="M148">
        <v>14125</v>
      </c>
      <c r="N148">
        <v>4125</v>
      </c>
      <c r="O148">
        <v>10000</v>
      </c>
      <c r="P148">
        <v>0</v>
      </c>
      <c r="Q148">
        <v>0</v>
      </c>
      <c r="R148">
        <v>0</v>
      </c>
      <c r="S148">
        <v>52.029829900000003</v>
      </c>
      <c r="T148">
        <v>-1.4582900000000001</v>
      </c>
      <c r="U148">
        <v>45</v>
      </c>
      <c r="V148">
        <v>0.9</v>
      </c>
      <c r="W148">
        <f t="shared" si="2"/>
        <v>14125</v>
      </c>
    </row>
    <row r="149" spans="1:23" x14ac:dyDescent="0.35">
      <c r="A149" t="s">
        <v>48</v>
      </c>
      <c r="B149" t="s">
        <v>49</v>
      </c>
      <c r="C149" t="s">
        <v>618</v>
      </c>
      <c r="D149" t="s">
        <v>619</v>
      </c>
      <c r="E149" t="s">
        <v>620</v>
      </c>
      <c r="F149">
        <v>4500</v>
      </c>
      <c r="G149">
        <v>250</v>
      </c>
      <c r="H149" t="s">
        <v>34</v>
      </c>
      <c r="I149" t="s">
        <v>27</v>
      </c>
      <c r="J149">
        <v>2016</v>
      </c>
      <c r="K149" t="s">
        <v>28</v>
      </c>
      <c r="L149" t="s">
        <v>254</v>
      </c>
      <c r="M149">
        <v>20000</v>
      </c>
      <c r="N149">
        <v>18000</v>
      </c>
      <c r="O149">
        <v>2000</v>
      </c>
      <c r="P149">
        <v>0</v>
      </c>
      <c r="Q149">
        <v>0</v>
      </c>
      <c r="R149">
        <v>0</v>
      </c>
      <c r="S149">
        <v>54.017189999999999</v>
      </c>
      <c r="T149">
        <v>-0.96313000000000004</v>
      </c>
      <c r="U149">
        <v>45</v>
      </c>
      <c r="V149">
        <v>0.9</v>
      </c>
      <c r="W149">
        <f t="shared" si="2"/>
        <v>20000</v>
      </c>
    </row>
    <row r="150" spans="1:23" x14ac:dyDescent="0.35">
      <c r="A150" t="s">
        <v>64</v>
      </c>
      <c r="B150" t="s">
        <v>259</v>
      </c>
      <c r="C150" t="s">
        <v>621</v>
      </c>
      <c r="D150" t="s">
        <v>622</v>
      </c>
      <c r="E150" t="s">
        <v>623</v>
      </c>
      <c r="F150">
        <v>470</v>
      </c>
      <c r="G150">
        <v>0</v>
      </c>
      <c r="H150" t="s">
        <v>26</v>
      </c>
      <c r="I150" t="s">
        <v>27</v>
      </c>
      <c r="J150">
        <v>2013</v>
      </c>
      <c r="K150" t="s">
        <v>35</v>
      </c>
      <c r="L150" t="s">
        <v>624</v>
      </c>
      <c r="M150">
        <v>35000</v>
      </c>
      <c r="N150">
        <v>2500</v>
      </c>
      <c r="O150">
        <v>7500</v>
      </c>
      <c r="P150">
        <v>0</v>
      </c>
      <c r="Q150">
        <v>0</v>
      </c>
      <c r="R150">
        <v>25000</v>
      </c>
      <c r="S150">
        <v>52.01332</v>
      </c>
      <c r="T150">
        <v>-3.22166</v>
      </c>
      <c r="U150">
        <v>45</v>
      </c>
      <c r="V150">
        <v>0.9</v>
      </c>
      <c r="W150">
        <f t="shared" si="2"/>
        <v>35000</v>
      </c>
    </row>
    <row r="151" spans="1:23" x14ac:dyDescent="0.35">
      <c r="A151" t="s">
        <v>58</v>
      </c>
      <c r="B151" t="s">
        <v>145</v>
      </c>
      <c r="C151" t="s">
        <v>625</v>
      </c>
      <c r="D151" t="s">
        <v>626</v>
      </c>
      <c r="E151" t="s">
        <v>627</v>
      </c>
      <c r="F151">
        <v>1140</v>
      </c>
      <c r="G151">
        <v>0</v>
      </c>
      <c r="H151" t="s">
        <v>26</v>
      </c>
      <c r="I151" t="s">
        <v>27</v>
      </c>
      <c r="J151">
        <v>2013</v>
      </c>
      <c r="K151" t="s">
        <v>35</v>
      </c>
      <c r="L151" t="s">
        <v>628</v>
      </c>
      <c r="M151">
        <v>86000</v>
      </c>
      <c r="N151">
        <v>34500</v>
      </c>
      <c r="O151">
        <v>0</v>
      </c>
      <c r="P151">
        <v>51500</v>
      </c>
      <c r="Q151">
        <v>0</v>
      </c>
      <c r="R151">
        <v>0</v>
      </c>
      <c r="S151">
        <v>52.586019999999998</v>
      </c>
      <c r="T151">
        <v>-1.2375</v>
      </c>
      <c r="U151">
        <v>45</v>
      </c>
      <c r="V151">
        <v>0.9</v>
      </c>
      <c r="W151">
        <f t="shared" si="2"/>
        <v>86000</v>
      </c>
    </row>
    <row r="152" spans="1:23" x14ac:dyDescent="0.35">
      <c r="A152" t="s">
        <v>70</v>
      </c>
      <c r="B152" t="s">
        <v>71</v>
      </c>
      <c r="C152" t="s">
        <v>629</v>
      </c>
      <c r="D152" t="s">
        <v>630</v>
      </c>
      <c r="E152" t="s">
        <v>631</v>
      </c>
      <c r="F152">
        <v>2399</v>
      </c>
      <c r="G152">
        <v>0</v>
      </c>
      <c r="H152" t="s">
        <v>26</v>
      </c>
      <c r="I152" t="s">
        <v>27</v>
      </c>
      <c r="J152">
        <v>2016</v>
      </c>
      <c r="K152" t="s">
        <v>28</v>
      </c>
      <c r="L152" t="s">
        <v>632</v>
      </c>
      <c r="M152">
        <v>23500</v>
      </c>
      <c r="N152">
        <v>500</v>
      </c>
      <c r="O152">
        <v>23000</v>
      </c>
      <c r="P152">
        <v>0</v>
      </c>
      <c r="Q152">
        <v>0</v>
      </c>
      <c r="R152">
        <v>0</v>
      </c>
      <c r="S152">
        <v>54.68289</v>
      </c>
      <c r="T152">
        <v>-2.7590699999999999</v>
      </c>
      <c r="U152">
        <v>45</v>
      </c>
      <c r="V152">
        <v>0.9</v>
      </c>
      <c r="W152">
        <f t="shared" si="2"/>
        <v>23500</v>
      </c>
    </row>
    <row r="153" spans="1:23" x14ac:dyDescent="0.35">
      <c r="A153" t="s">
        <v>76</v>
      </c>
      <c r="B153" t="s">
        <v>633</v>
      </c>
      <c r="C153" t="s">
        <v>634</v>
      </c>
      <c r="D153" t="s">
        <v>635</v>
      </c>
      <c r="E153" t="s">
        <v>636</v>
      </c>
      <c r="F153">
        <v>1000</v>
      </c>
      <c r="G153">
        <v>0</v>
      </c>
      <c r="H153" t="s">
        <v>26</v>
      </c>
      <c r="I153" t="s">
        <v>27</v>
      </c>
      <c r="J153">
        <v>2015</v>
      </c>
      <c r="K153" t="s">
        <v>28</v>
      </c>
      <c r="L153" t="s">
        <v>637</v>
      </c>
      <c r="M153">
        <v>10760</v>
      </c>
      <c r="N153">
        <v>2000</v>
      </c>
      <c r="O153">
        <v>8760</v>
      </c>
      <c r="P153">
        <v>0</v>
      </c>
      <c r="Q153">
        <v>0</v>
      </c>
      <c r="R153">
        <v>0</v>
      </c>
      <c r="S153">
        <v>50.723179999999999</v>
      </c>
      <c r="T153">
        <v>-1.2944</v>
      </c>
      <c r="U153">
        <v>45</v>
      </c>
      <c r="V153">
        <v>0.9</v>
      </c>
      <c r="W153">
        <f t="shared" si="2"/>
        <v>10760</v>
      </c>
    </row>
    <row r="154" spans="1:23" x14ac:dyDescent="0.35">
      <c r="A154" t="s">
        <v>30</v>
      </c>
      <c r="B154" t="s">
        <v>43</v>
      </c>
      <c r="C154" t="s">
        <v>638</v>
      </c>
      <c r="D154" t="s">
        <v>639</v>
      </c>
      <c r="E154" t="s">
        <v>640</v>
      </c>
      <c r="F154">
        <v>1440</v>
      </c>
      <c r="G154">
        <v>550</v>
      </c>
      <c r="H154" t="s">
        <v>34</v>
      </c>
      <c r="I154" t="s">
        <v>27</v>
      </c>
      <c r="J154">
        <v>2017</v>
      </c>
      <c r="K154" t="s">
        <v>28</v>
      </c>
      <c r="L154" t="s">
        <v>515</v>
      </c>
      <c r="M154">
        <v>80000</v>
      </c>
      <c r="N154">
        <v>0</v>
      </c>
      <c r="O154">
        <v>80000</v>
      </c>
      <c r="P154">
        <v>0</v>
      </c>
      <c r="Q154">
        <v>0</v>
      </c>
      <c r="R154">
        <v>0</v>
      </c>
      <c r="S154">
        <v>52.417890849999999</v>
      </c>
      <c r="T154">
        <v>0.1016263</v>
      </c>
      <c r="U154">
        <v>45</v>
      </c>
      <c r="V154">
        <v>0.9</v>
      </c>
      <c r="W154">
        <f t="shared" si="2"/>
        <v>80000</v>
      </c>
    </row>
    <row r="155" spans="1:23" x14ac:dyDescent="0.35">
      <c r="A155" t="s">
        <v>22</v>
      </c>
      <c r="B155" t="s">
        <v>242</v>
      </c>
      <c r="C155" t="s">
        <v>641</v>
      </c>
      <c r="D155" t="s">
        <v>641</v>
      </c>
      <c r="E155" t="s">
        <v>642</v>
      </c>
      <c r="F155">
        <v>250</v>
      </c>
      <c r="G155">
        <v>600</v>
      </c>
      <c r="H155" t="s">
        <v>34</v>
      </c>
      <c r="I155" t="s">
        <v>27</v>
      </c>
      <c r="J155">
        <v>2016</v>
      </c>
      <c r="K155" t="s">
        <v>28</v>
      </c>
      <c r="L155" t="s">
        <v>643</v>
      </c>
      <c r="M155">
        <v>36000</v>
      </c>
      <c r="N155">
        <v>10000</v>
      </c>
      <c r="O155">
        <v>26000</v>
      </c>
      <c r="P155">
        <v>0</v>
      </c>
      <c r="Q155">
        <v>0</v>
      </c>
      <c r="R155">
        <v>0</v>
      </c>
      <c r="S155">
        <v>52.865639999999999</v>
      </c>
      <c r="T155">
        <v>-1.9537599999999999</v>
      </c>
      <c r="U155">
        <v>45</v>
      </c>
      <c r="V155">
        <v>0.9</v>
      </c>
      <c r="W155">
        <f t="shared" si="2"/>
        <v>36000</v>
      </c>
    </row>
    <row r="156" spans="1:23" x14ac:dyDescent="0.35">
      <c r="A156" t="s">
        <v>64</v>
      </c>
      <c r="B156" t="s">
        <v>65</v>
      </c>
      <c r="C156" t="s">
        <v>277</v>
      </c>
      <c r="D156" t="s">
        <v>644</v>
      </c>
      <c r="E156" t="s">
        <v>645</v>
      </c>
      <c r="F156">
        <v>1700</v>
      </c>
      <c r="G156">
        <v>0</v>
      </c>
      <c r="H156" t="s">
        <v>26</v>
      </c>
      <c r="I156" t="s">
        <v>27</v>
      </c>
      <c r="J156">
        <v>2013</v>
      </c>
      <c r="K156" t="s">
        <v>35</v>
      </c>
      <c r="L156" t="s">
        <v>85</v>
      </c>
      <c r="M156">
        <v>11500</v>
      </c>
      <c r="N156">
        <v>0</v>
      </c>
      <c r="O156">
        <v>0</v>
      </c>
      <c r="P156">
        <v>11500</v>
      </c>
      <c r="Q156">
        <v>0</v>
      </c>
      <c r="R156">
        <v>0</v>
      </c>
      <c r="S156">
        <v>53.013069999999999</v>
      </c>
      <c r="T156">
        <v>-4.30891</v>
      </c>
      <c r="U156">
        <v>45</v>
      </c>
      <c r="V156">
        <v>0.9</v>
      </c>
      <c r="W156">
        <f t="shared" si="2"/>
        <v>11500</v>
      </c>
    </row>
    <row r="157" spans="1:23" x14ac:dyDescent="0.35">
      <c r="A157" t="s">
        <v>30</v>
      </c>
      <c r="B157" t="s">
        <v>415</v>
      </c>
      <c r="C157" t="s">
        <v>277</v>
      </c>
      <c r="D157" t="s">
        <v>646</v>
      </c>
      <c r="E157" t="s">
        <v>647</v>
      </c>
      <c r="F157">
        <v>2000</v>
      </c>
      <c r="G157" t="s">
        <v>46</v>
      </c>
      <c r="H157" t="s">
        <v>26</v>
      </c>
      <c r="I157" t="s">
        <v>27</v>
      </c>
      <c r="J157">
        <v>2014</v>
      </c>
      <c r="K157" t="s">
        <v>35</v>
      </c>
      <c r="L157" t="s">
        <v>85</v>
      </c>
      <c r="M157">
        <v>45000</v>
      </c>
      <c r="N157">
        <v>0</v>
      </c>
      <c r="O157">
        <v>0</v>
      </c>
      <c r="P157">
        <v>45000</v>
      </c>
      <c r="Q157">
        <v>0</v>
      </c>
      <c r="R157">
        <v>0</v>
      </c>
      <c r="S157">
        <v>51.941600000000001</v>
      </c>
      <c r="T157">
        <v>0.65649999999999997</v>
      </c>
      <c r="U157">
        <v>45</v>
      </c>
      <c r="V157">
        <v>0.9</v>
      </c>
      <c r="W157">
        <f t="shared" si="2"/>
        <v>45000</v>
      </c>
    </row>
    <row r="158" spans="1:23" x14ac:dyDescent="0.35">
      <c r="A158" t="s">
        <v>48</v>
      </c>
      <c r="B158" t="s">
        <v>234</v>
      </c>
      <c r="C158" t="s">
        <v>648</v>
      </c>
      <c r="D158" t="s">
        <v>649</v>
      </c>
      <c r="E158" t="s">
        <v>650</v>
      </c>
      <c r="F158">
        <v>485</v>
      </c>
      <c r="G158">
        <v>550</v>
      </c>
      <c r="H158" t="s">
        <v>34</v>
      </c>
      <c r="I158" t="s">
        <v>27</v>
      </c>
      <c r="J158">
        <v>2016</v>
      </c>
      <c r="K158" t="s">
        <v>28</v>
      </c>
      <c r="L158" t="s">
        <v>651</v>
      </c>
      <c r="M158">
        <v>56000</v>
      </c>
      <c r="N158">
        <v>15000</v>
      </c>
      <c r="O158">
        <v>41000</v>
      </c>
      <c r="P158">
        <v>0</v>
      </c>
      <c r="Q158">
        <v>0</v>
      </c>
      <c r="R158">
        <v>0</v>
      </c>
      <c r="S158">
        <v>54.051155600000001</v>
      </c>
      <c r="T158">
        <v>-0.31811099999999998</v>
      </c>
      <c r="U158">
        <v>45</v>
      </c>
      <c r="V158">
        <v>0.9</v>
      </c>
      <c r="W158">
        <f t="shared" si="2"/>
        <v>56000</v>
      </c>
    </row>
    <row r="159" spans="1:23" x14ac:dyDescent="0.35">
      <c r="A159" t="s">
        <v>102</v>
      </c>
      <c r="B159" t="s">
        <v>154</v>
      </c>
      <c r="C159" t="s">
        <v>580</v>
      </c>
      <c r="D159" t="s">
        <v>652</v>
      </c>
      <c r="E159" t="s">
        <v>653</v>
      </c>
      <c r="F159">
        <v>500</v>
      </c>
      <c r="G159">
        <v>450</v>
      </c>
      <c r="H159" t="s">
        <v>34</v>
      </c>
      <c r="I159" t="s">
        <v>27</v>
      </c>
      <c r="J159">
        <v>2017</v>
      </c>
      <c r="K159" t="s">
        <v>28</v>
      </c>
      <c r="L159" t="s">
        <v>654</v>
      </c>
      <c r="M159">
        <v>38000</v>
      </c>
      <c r="N159">
        <v>0</v>
      </c>
      <c r="O159">
        <v>38000</v>
      </c>
      <c r="P159">
        <v>0</v>
      </c>
      <c r="Q159">
        <v>0</v>
      </c>
      <c r="R159">
        <v>0</v>
      </c>
      <c r="S159">
        <v>56.525970000000001</v>
      </c>
      <c r="T159">
        <v>-2.6679599999999999</v>
      </c>
      <c r="U159">
        <v>45</v>
      </c>
      <c r="V159">
        <v>0.9</v>
      </c>
      <c r="W159">
        <f t="shared" si="2"/>
        <v>38000</v>
      </c>
    </row>
    <row r="160" spans="1:23" x14ac:dyDescent="0.35">
      <c r="A160" t="s">
        <v>70</v>
      </c>
      <c r="B160" t="s">
        <v>93</v>
      </c>
      <c r="C160" t="s">
        <v>655</v>
      </c>
      <c r="D160" t="s">
        <v>656</v>
      </c>
      <c r="E160" t="s">
        <v>657</v>
      </c>
      <c r="F160">
        <v>200</v>
      </c>
      <c r="G160">
        <v>0</v>
      </c>
      <c r="H160" t="s">
        <v>26</v>
      </c>
      <c r="I160" t="s">
        <v>27</v>
      </c>
      <c r="J160">
        <v>2016</v>
      </c>
      <c r="K160" t="s">
        <v>28</v>
      </c>
      <c r="L160" t="s">
        <v>658</v>
      </c>
      <c r="M160">
        <v>22000</v>
      </c>
      <c r="N160">
        <v>14500</v>
      </c>
      <c r="O160">
        <v>7500</v>
      </c>
      <c r="P160">
        <v>0</v>
      </c>
      <c r="Q160">
        <v>0</v>
      </c>
      <c r="R160">
        <v>0</v>
      </c>
      <c r="S160">
        <v>53.277700000000003</v>
      </c>
      <c r="T160">
        <v>-3.0138600000000002</v>
      </c>
      <c r="U160">
        <v>45</v>
      </c>
      <c r="V160">
        <v>0.9</v>
      </c>
      <c r="W160">
        <f t="shared" si="2"/>
        <v>22000</v>
      </c>
    </row>
    <row r="161" spans="1:23" x14ac:dyDescent="0.35">
      <c r="A161" t="s">
        <v>58</v>
      </c>
      <c r="B161" t="s">
        <v>59</v>
      </c>
      <c r="C161" t="s">
        <v>659</v>
      </c>
      <c r="D161" t="s">
        <v>660</v>
      </c>
      <c r="E161" t="s">
        <v>661</v>
      </c>
      <c r="F161">
        <v>440</v>
      </c>
      <c r="G161">
        <v>600</v>
      </c>
      <c r="H161" t="s">
        <v>34</v>
      </c>
      <c r="I161" t="s">
        <v>27</v>
      </c>
      <c r="J161">
        <v>2015</v>
      </c>
      <c r="K161" t="s">
        <v>28</v>
      </c>
      <c r="L161" t="s">
        <v>515</v>
      </c>
      <c r="M161">
        <v>45000</v>
      </c>
      <c r="N161">
        <v>0</v>
      </c>
      <c r="O161">
        <v>45000</v>
      </c>
      <c r="P161">
        <v>0</v>
      </c>
      <c r="Q161">
        <v>0</v>
      </c>
      <c r="R161">
        <v>0</v>
      </c>
      <c r="S161">
        <v>53.134749900000003</v>
      </c>
      <c r="T161">
        <v>-0.47716999999999998</v>
      </c>
      <c r="U161">
        <v>45</v>
      </c>
      <c r="V161">
        <v>0.9</v>
      </c>
      <c r="W161">
        <f t="shared" si="2"/>
        <v>45000</v>
      </c>
    </row>
    <row r="162" spans="1:23" x14ac:dyDescent="0.35">
      <c r="A162" t="s">
        <v>58</v>
      </c>
      <c r="B162" t="s">
        <v>536</v>
      </c>
      <c r="C162" t="s">
        <v>662</v>
      </c>
      <c r="D162" t="s">
        <v>663</v>
      </c>
      <c r="E162" t="s">
        <v>664</v>
      </c>
      <c r="F162">
        <v>500</v>
      </c>
      <c r="G162">
        <v>450</v>
      </c>
      <c r="H162" t="s">
        <v>34</v>
      </c>
      <c r="I162" t="s">
        <v>27</v>
      </c>
      <c r="J162">
        <v>2015</v>
      </c>
      <c r="K162" t="s">
        <v>35</v>
      </c>
      <c r="L162" t="s">
        <v>665</v>
      </c>
      <c r="M162">
        <v>30000</v>
      </c>
      <c r="N162">
        <v>0</v>
      </c>
      <c r="O162">
        <v>15000</v>
      </c>
      <c r="P162">
        <v>0</v>
      </c>
      <c r="Q162">
        <v>0</v>
      </c>
      <c r="R162">
        <v>15000</v>
      </c>
      <c r="S162">
        <v>52.082339599999997</v>
      </c>
      <c r="T162">
        <v>-1.1626011999999999</v>
      </c>
      <c r="U162">
        <v>45</v>
      </c>
      <c r="V162">
        <v>0.9</v>
      </c>
      <c r="W162">
        <f t="shared" si="2"/>
        <v>30000</v>
      </c>
    </row>
    <row r="163" spans="1:23" x14ac:dyDescent="0.35">
      <c r="A163" t="s">
        <v>58</v>
      </c>
      <c r="B163" t="s">
        <v>59</v>
      </c>
      <c r="C163" t="s">
        <v>666</v>
      </c>
      <c r="D163" t="s">
        <v>667</v>
      </c>
      <c r="E163" t="s">
        <v>668</v>
      </c>
      <c r="F163">
        <v>6000</v>
      </c>
      <c r="G163">
        <v>950</v>
      </c>
      <c r="H163" t="s">
        <v>34</v>
      </c>
      <c r="I163" t="s">
        <v>27</v>
      </c>
      <c r="J163">
        <v>2015</v>
      </c>
      <c r="K163" t="s">
        <v>35</v>
      </c>
      <c r="L163" t="s">
        <v>85</v>
      </c>
      <c r="M163">
        <v>140000</v>
      </c>
      <c r="N163">
        <v>0</v>
      </c>
      <c r="O163">
        <v>0</v>
      </c>
      <c r="P163">
        <v>140000</v>
      </c>
      <c r="Q163">
        <v>0</v>
      </c>
      <c r="R163">
        <v>0</v>
      </c>
      <c r="S163">
        <v>53.400129999999997</v>
      </c>
      <c r="T163">
        <v>-0.57747999999999999</v>
      </c>
      <c r="U163">
        <v>45</v>
      </c>
      <c r="V163">
        <v>0.9</v>
      </c>
      <c r="W163">
        <f t="shared" si="2"/>
        <v>140000</v>
      </c>
    </row>
    <row r="164" spans="1:23" x14ac:dyDescent="0.35">
      <c r="A164" t="s">
        <v>76</v>
      </c>
      <c r="B164" t="s">
        <v>669</v>
      </c>
      <c r="C164" t="s">
        <v>670</v>
      </c>
      <c r="D164" t="s">
        <v>671</v>
      </c>
      <c r="E164" t="s">
        <v>672</v>
      </c>
      <c r="F164">
        <v>1195</v>
      </c>
      <c r="G164">
        <v>0</v>
      </c>
      <c r="H164" t="s">
        <v>26</v>
      </c>
      <c r="I164" t="s">
        <v>27</v>
      </c>
      <c r="J164">
        <v>2013</v>
      </c>
      <c r="K164" t="s">
        <v>35</v>
      </c>
      <c r="L164" t="s">
        <v>673</v>
      </c>
      <c r="M164">
        <v>29000</v>
      </c>
      <c r="N164">
        <v>0</v>
      </c>
      <c r="O164">
        <v>14500</v>
      </c>
      <c r="P164">
        <v>14500</v>
      </c>
      <c r="Q164">
        <v>0</v>
      </c>
      <c r="R164">
        <v>0</v>
      </c>
      <c r="S164">
        <v>51.21557</v>
      </c>
      <c r="T164">
        <v>-1.06484</v>
      </c>
      <c r="U164">
        <v>45</v>
      </c>
      <c r="V164">
        <v>0.9</v>
      </c>
      <c r="W164">
        <f t="shared" si="2"/>
        <v>29000</v>
      </c>
    </row>
    <row r="165" spans="1:23" x14ac:dyDescent="0.35">
      <c r="A165" t="s">
        <v>48</v>
      </c>
      <c r="B165" t="s">
        <v>221</v>
      </c>
      <c r="C165" t="s">
        <v>674</v>
      </c>
      <c r="D165" t="s">
        <v>675</v>
      </c>
      <c r="E165" t="s">
        <v>676</v>
      </c>
      <c r="F165">
        <v>500</v>
      </c>
      <c r="G165">
        <v>550</v>
      </c>
      <c r="H165" t="s">
        <v>34</v>
      </c>
      <c r="I165" t="s">
        <v>27</v>
      </c>
      <c r="J165">
        <v>2014</v>
      </c>
      <c r="K165" t="s">
        <v>28</v>
      </c>
      <c r="L165" t="s">
        <v>176</v>
      </c>
      <c r="M165">
        <v>36000</v>
      </c>
      <c r="N165">
        <v>0</v>
      </c>
      <c r="O165">
        <v>36000</v>
      </c>
      <c r="P165">
        <v>0</v>
      </c>
      <c r="Q165">
        <v>0</v>
      </c>
      <c r="R165">
        <v>0</v>
      </c>
      <c r="S165">
        <v>53.497190000000003</v>
      </c>
      <c r="T165">
        <v>-0.52829000000000004</v>
      </c>
      <c r="U165">
        <v>45</v>
      </c>
      <c r="V165">
        <v>0.9</v>
      </c>
      <c r="W165">
        <f t="shared" si="2"/>
        <v>36000</v>
      </c>
    </row>
    <row r="166" spans="1:23" x14ac:dyDescent="0.35">
      <c r="A166" t="s">
        <v>215</v>
      </c>
      <c r="B166" t="s">
        <v>386</v>
      </c>
      <c r="C166" t="s">
        <v>677</v>
      </c>
      <c r="D166" t="s">
        <v>677</v>
      </c>
      <c r="E166" t="s">
        <v>678</v>
      </c>
      <c r="F166">
        <v>450</v>
      </c>
      <c r="G166">
        <v>400</v>
      </c>
      <c r="H166" t="s">
        <v>34</v>
      </c>
      <c r="I166" t="s">
        <v>27</v>
      </c>
      <c r="J166">
        <v>2014</v>
      </c>
      <c r="K166" t="s">
        <v>35</v>
      </c>
      <c r="L166" t="s">
        <v>679</v>
      </c>
      <c r="M166">
        <v>17400</v>
      </c>
      <c r="N166">
        <v>3500</v>
      </c>
      <c r="O166">
        <v>3200</v>
      </c>
      <c r="P166">
        <v>0</v>
      </c>
      <c r="Q166">
        <v>0</v>
      </c>
      <c r="R166">
        <v>10700</v>
      </c>
      <c r="S166">
        <v>54.759449500000002</v>
      </c>
      <c r="T166">
        <v>-1.7693983</v>
      </c>
      <c r="U166">
        <v>45</v>
      </c>
      <c r="V166">
        <v>0.9</v>
      </c>
      <c r="W166">
        <f t="shared" si="2"/>
        <v>17400</v>
      </c>
    </row>
    <row r="167" spans="1:23" x14ac:dyDescent="0.35">
      <c r="A167" t="s">
        <v>163</v>
      </c>
      <c r="B167" t="s">
        <v>177</v>
      </c>
      <c r="C167" t="s">
        <v>680</v>
      </c>
      <c r="D167" t="s">
        <v>681</v>
      </c>
      <c r="E167" t="s">
        <v>682</v>
      </c>
      <c r="F167">
        <v>242</v>
      </c>
      <c r="G167">
        <v>0</v>
      </c>
      <c r="H167" t="s">
        <v>26</v>
      </c>
      <c r="I167" t="s">
        <v>27</v>
      </c>
      <c r="J167">
        <v>2014</v>
      </c>
      <c r="K167" t="s">
        <v>28</v>
      </c>
      <c r="L167" t="s">
        <v>683</v>
      </c>
      <c r="M167">
        <v>13000</v>
      </c>
      <c r="N167">
        <v>13000</v>
      </c>
      <c r="O167">
        <v>0</v>
      </c>
      <c r="P167">
        <v>0</v>
      </c>
      <c r="Q167">
        <v>0</v>
      </c>
      <c r="R167">
        <v>0</v>
      </c>
      <c r="S167">
        <v>50.871380000000002</v>
      </c>
      <c r="T167">
        <v>-2.60988</v>
      </c>
      <c r="U167">
        <v>45</v>
      </c>
      <c r="V167">
        <v>0.9</v>
      </c>
      <c r="W167">
        <f t="shared" si="2"/>
        <v>13000</v>
      </c>
    </row>
    <row r="168" spans="1:23" x14ac:dyDescent="0.35">
      <c r="A168" t="s">
        <v>22</v>
      </c>
      <c r="B168" t="s">
        <v>98</v>
      </c>
      <c r="C168" t="s">
        <v>684</v>
      </c>
      <c r="D168" t="s">
        <v>685</v>
      </c>
      <c r="E168" t="s">
        <v>686</v>
      </c>
      <c r="F168">
        <v>485</v>
      </c>
      <c r="G168">
        <v>550</v>
      </c>
      <c r="H168" t="s">
        <v>34</v>
      </c>
      <c r="I168" t="s">
        <v>27</v>
      </c>
      <c r="J168">
        <v>2016</v>
      </c>
      <c r="K168" t="s">
        <v>28</v>
      </c>
      <c r="L168" t="s">
        <v>276</v>
      </c>
      <c r="M168">
        <v>22800</v>
      </c>
      <c r="N168">
        <v>0</v>
      </c>
      <c r="O168">
        <v>22800</v>
      </c>
      <c r="P168">
        <v>0</v>
      </c>
      <c r="Q168">
        <v>0</v>
      </c>
      <c r="R168">
        <v>0</v>
      </c>
      <c r="S168">
        <v>52.411389999999997</v>
      </c>
      <c r="T168">
        <v>-1.38222</v>
      </c>
      <c r="U168">
        <v>45</v>
      </c>
      <c r="V168">
        <v>0.9</v>
      </c>
      <c r="W168">
        <f t="shared" si="2"/>
        <v>22800</v>
      </c>
    </row>
    <row r="169" spans="1:23" x14ac:dyDescent="0.35">
      <c r="A169" t="s">
        <v>30</v>
      </c>
      <c r="B169" t="s">
        <v>31</v>
      </c>
      <c r="C169" t="s">
        <v>687</v>
      </c>
      <c r="D169" t="s">
        <v>688</v>
      </c>
      <c r="E169" t="s">
        <v>689</v>
      </c>
      <c r="F169">
        <v>465.8</v>
      </c>
      <c r="G169">
        <v>0</v>
      </c>
      <c r="H169" t="s">
        <v>26</v>
      </c>
      <c r="I169" t="s">
        <v>27</v>
      </c>
      <c r="J169">
        <v>2014</v>
      </c>
      <c r="K169" t="s">
        <v>28</v>
      </c>
      <c r="L169" t="s">
        <v>690</v>
      </c>
      <c r="M169">
        <v>15050</v>
      </c>
      <c r="N169">
        <v>2200</v>
      </c>
      <c r="O169">
        <v>6350</v>
      </c>
      <c r="P169">
        <v>0</v>
      </c>
      <c r="Q169">
        <v>6500</v>
      </c>
      <c r="R169">
        <v>0</v>
      </c>
      <c r="S169">
        <v>52.010300000000001</v>
      </c>
      <c r="T169">
        <v>0.85718000000000005</v>
      </c>
      <c r="U169">
        <v>45</v>
      </c>
      <c r="V169">
        <v>0.9</v>
      </c>
      <c r="W169">
        <f t="shared" si="2"/>
        <v>15050</v>
      </c>
    </row>
    <row r="170" spans="1:23" x14ac:dyDescent="0.35">
      <c r="A170" t="s">
        <v>48</v>
      </c>
      <c r="B170" t="s">
        <v>351</v>
      </c>
      <c r="C170" t="s">
        <v>691</v>
      </c>
      <c r="D170" t="s">
        <v>692</v>
      </c>
      <c r="E170" t="s">
        <v>693</v>
      </c>
      <c r="F170">
        <v>582</v>
      </c>
      <c r="G170">
        <v>0</v>
      </c>
      <c r="H170" t="s">
        <v>26</v>
      </c>
      <c r="I170" t="s">
        <v>27</v>
      </c>
      <c r="J170">
        <v>2016</v>
      </c>
      <c r="K170" t="s">
        <v>35</v>
      </c>
      <c r="L170" t="s">
        <v>694</v>
      </c>
      <c r="M170">
        <v>20000</v>
      </c>
      <c r="N170">
        <v>20000</v>
      </c>
      <c r="O170">
        <v>0</v>
      </c>
      <c r="P170">
        <v>0</v>
      </c>
      <c r="Q170">
        <v>0</v>
      </c>
      <c r="R170">
        <v>0</v>
      </c>
      <c r="S170">
        <v>53.623638700000001</v>
      </c>
      <c r="T170">
        <v>-1.3620728</v>
      </c>
      <c r="U170">
        <v>45</v>
      </c>
      <c r="V170">
        <v>0.9</v>
      </c>
      <c r="W170">
        <f t="shared" si="2"/>
        <v>20000</v>
      </c>
    </row>
    <row r="171" spans="1:23" x14ac:dyDescent="0.35">
      <c r="A171" t="s">
        <v>70</v>
      </c>
      <c r="B171" t="s">
        <v>528</v>
      </c>
      <c r="C171" t="s">
        <v>695</v>
      </c>
      <c r="D171" t="s">
        <v>696</v>
      </c>
      <c r="E171" t="s">
        <v>697</v>
      </c>
      <c r="F171">
        <v>461</v>
      </c>
      <c r="G171">
        <v>0</v>
      </c>
      <c r="H171" t="s">
        <v>26</v>
      </c>
      <c r="I171" t="s">
        <v>27</v>
      </c>
      <c r="J171">
        <v>2014</v>
      </c>
      <c r="K171" t="s">
        <v>28</v>
      </c>
      <c r="L171" t="s">
        <v>698</v>
      </c>
      <c r="M171">
        <v>12000</v>
      </c>
      <c r="N171">
        <v>10800</v>
      </c>
      <c r="O171">
        <v>1200</v>
      </c>
      <c r="P171">
        <v>0</v>
      </c>
      <c r="Q171">
        <v>0</v>
      </c>
      <c r="R171">
        <v>0</v>
      </c>
      <c r="S171">
        <v>53.972479999999997</v>
      </c>
      <c r="T171">
        <v>-2.8220999999999998</v>
      </c>
      <c r="U171">
        <v>45</v>
      </c>
      <c r="V171">
        <v>0.9</v>
      </c>
      <c r="W171">
        <f t="shared" si="2"/>
        <v>12000</v>
      </c>
    </row>
    <row r="172" spans="1:23" x14ac:dyDescent="0.35">
      <c r="A172" t="s">
        <v>70</v>
      </c>
      <c r="B172" t="s">
        <v>528</v>
      </c>
      <c r="C172" t="s">
        <v>695</v>
      </c>
      <c r="D172" t="s">
        <v>699</v>
      </c>
      <c r="E172" t="s">
        <v>697</v>
      </c>
      <c r="F172">
        <v>500</v>
      </c>
      <c r="G172">
        <v>0</v>
      </c>
      <c r="H172" t="s">
        <v>26</v>
      </c>
      <c r="I172" t="s">
        <v>27</v>
      </c>
      <c r="J172">
        <v>2017</v>
      </c>
      <c r="K172" t="s">
        <v>28</v>
      </c>
      <c r="L172" t="s">
        <v>698</v>
      </c>
      <c r="M172">
        <v>12000</v>
      </c>
      <c r="N172">
        <v>10800</v>
      </c>
      <c r="O172">
        <v>1200</v>
      </c>
      <c r="P172">
        <v>0</v>
      </c>
      <c r="Q172">
        <v>0</v>
      </c>
      <c r="R172">
        <v>0</v>
      </c>
      <c r="S172">
        <v>53.972479999999997</v>
      </c>
      <c r="T172">
        <v>-2.8220999999999998</v>
      </c>
      <c r="U172">
        <v>45</v>
      </c>
      <c r="V172">
        <v>0.9</v>
      </c>
      <c r="W172">
        <f t="shared" si="2"/>
        <v>12000</v>
      </c>
    </row>
    <row r="173" spans="1:23" x14ac:dyDescent="0.35">
      <c r="A173" t="s">
        <v>163</v>
      </c>
      <c r="B173" t="s">
        <v>358</v>
      </c>
      <c r="D173" t="s">
        <v>700</v>
      </c>
      <c r="E173" t="s">
        <v>701</v>
      </c>
      <c r="F173">
        <v>1300</v>
      </c>
      <c r="G173">
        <v>0</v>
      </c>
      <c r="H173" t="s">
        <v>26</v>
      </c>
      <c r="I173" t="s">
        <v>27</v>
      </c>
      <c r="J173">
        <v>2014</v>
      </c>
      <c r="K173" t="s">
        <v>28</v>
      </c>
      <c r="L173" t="s">
        <v>406</v>
      </c>
      <c r="M173">
        <v>28900</v>
      </c>
      <c r="N173">
        <v>7300</v>
      </c>
      <c r="O173">
        <v>21600</v>
      </c>
      <c r="P173">
        <v>0</v>
      </c>
      <c r="Q173">
        <v>0</v>
      </c>
      <c r="R173">
        <v>0</v>
      </c>
      <c r="S173">
        <v>50.694036400000002</v>
      </c>
      <c r="T173">
        <v>-3.3845499999999999</v>
      </c>
      <c r="U173">
        <v>45</v>
      </c>
      <c r="V173">
        <v>0.9</v>
      </c>
      <c r="W173">
        <f t="shared" si="2"/>
        <v>28900</v>
      </c>
    </row>
    <row r="174" spans="1:23" x14ac:dyDescent="0.35">
      <c r="A174" t="s">
        <v>58</v>
      </c>
      <c r="B174" t="s">
        <v>59</v>
      </c>
      <c r="C174" t="s">
        <v>702</v>
      </c>
      <c r="D174" t="s">
        <v>703</v>
      </c>
      <c r="E174" t="s">
        <v>704</v>
      </c>
      <c r="F174">
        <v>498</v>
      </c>
      <c r="G174">
        <v>826.1</v>
      </c>
      <c r="H174" t="s">
        <v>34</v>
      </c>
      <c r="I174" t="s">
        <v>27</v>
      </c>
      <c r="J174">
        <v>2015</v>
      </c>
      <c r="K174" t="s">
        <v>28</v>
      </c>
      <c r="L174" t="s">
        <v>705</v>
      </c>
      <c r="M174">
        <v>69340</v>
      </c>
      <c r="N174">
        <v>6840</v>
      </c>
      <c r="O174">
        <v>62500</v>
      </c>
      <c r="P174">
        <v>0</v>
      </c>
      <c r="Q174">
        <v>0</v>
      </c>
      <c r="R174">
        <v>0</v>
      </c>
      <c r="S174">
        <v>53.013153975000002</v>
      </c>
      <c r="T174">
        <v>-0.42495519999999998</v>
      </c>
      <c r="U174">
        <v>45</v>
      </c>
      <c r="V174">
        <v>0.9</v>
      </c>
      <c r="W174">
        <f t="shared" si="2"/>
        <v>69340</v>
      </c>
    </row>
    <row r="175" spans="1:23" x14ac:dyDescent="0.35">
      <c r="A175" t="s">
        <v>30</v>
      </c>
      <c r="B175" t="s">
        <v>288</v>
      </c>
      <c r="C175" t="s">
        <v>706</v>
      </c>
      <c r="D175" t="s">
        <v>707</v>
      </c>
      <c r="E175" t="s">
        <v>708</v>
      </c>
      <c r="F175">
        <v>500</v>
      </c>
      <c r="G175">
        <v>550</v>
      </c>
      <c r="H175" t="s">
        <v>34</v>
      </c>
      <c r="I175" t="s">
        <v>27</v>
      </c>
      <c r="J175">
        <v>2014</v>
      </c>
      <c r="K175" t="s">
        <v>28</v>
      </c>
      <c r="L175" t="s">
        <v>176</v>
      </c>
      <c r="M175">
        <v>35000</v>
      </c>
      <c r="N175">
        <v>0</v>
      </c>
      <c r="O175">
        <v>35000</v>
      </c>
      <c r="P175">
        <v>0</v>
      </c>
      <c r="Q175">
        <v>0</v>
      </c>
      <c r="R175">
        <v>0</v>
      </c>
      <c r="S175">
        <v>52.910718000000003</v>
      </c>
      <c r="T175">
        <v>0.83108879999999996</v>
      </c>
      <c r="U175">
        <v>45</v>
      </c>
      <c r="V175">
        <v>0.9</v>
      </c>
      <c r="W175">
        <f t="shared" si="2"/>
        <v>35000</v>
      </c>
    </row>
    <row r="176" spans="1:23" x14ac:dyDescent="0.35">
      <c r="A176" t="s">
        <v>48</v>
      </c>
      <c r="B176" t="s">
        <v>234</v>
      </c>
      <c r="C176" t="s">
        <v>666</v>
      </c>
      <c r="D176" t="s">
        <v>709</v>
      </c>
      <c r="E176" t="s">
        <v>710</v>
      </c>
      <c r="F176">
        <v>370</v>
      </c>
      <c r="G176">
        <v>950</v>
      </c>
      <c r="H176" t="s">
        <v>373</v>
      </c>
      <c r="I176" t="s">
        <v>27</v>
      </c>
      <c r="J176">
        <v>2019</v>
      </c>
      <c r="K176" t="s">
        <v>35</v>
      </c>
      <c r="L176" t="s">
        <v>711</v>
      </c>
      <c r="M176">
        <v>80000</v>
      </c>
      <c r="N176">
        <v>0</v>
      </c>
      <c r="O176">
        <v>0</v>
      </c>
      <c r="P176">
        <v>80000</v>
      </c>
      <c r="Q176">
        <v>0</v>
      </c>
      <c r="R176">
        <v>0</v>
      </c>
      <c r="S176">
        <v>53.840264400000002</v>
      </c>
      <c r="T176">
        <v>-0.7538028</v>
      </c>
      <c r="U176">
        <v>45</v>
      </c>
      <c r="V176">
        <v>0.9</v>
      </c>
      <c r="W176">
        <f t="shared" si="2"/>
        <v>80000</v>
      </c>
    </row>
    <row r="177" spans="1:23" x14ac:dyDescent="0.35">
      <c r="A177" t="s">
        <v>163</v>
      </c>
      <c r="B177" t="s">
        <v>358</v>
      </c>
      <c r="C177" t="s">
        <v>137</v>
      </c>
      <c r="D177" t="s">
        <v>712</v>
      </c>
      <c r="E177" t="s">
        <v>713</v>
      </c>
      <c r="F177">
        <v>3200</v>
      </c>
      <c r="G177">
        <v>0</v>
      </c>
      <c r="H177" t="s">
        <v>26</v>
      </c>
      <c r="I177" t="s">
        <v>27</v>
      </c>
      <c r="J177">
        <v>2002</v>
      </c>
      <c r="K177" t="s">
        <v>35</v>
      </c>
      <c r="L177" t="s">
        <v>85</v>
      </c>
      <c r="M177">
        <v>80000</v>
      </c>
      <c r="N177">
        <v>0</v>
      </c>
      <c r="O177">
        <v>0</v>
      </c>
      <c r="P177">
        <v>80000</v>
      </c>
      <c r="Q177">
        <v>0</v>
      </c>
      <c r="R177">
        <v>0</v>
      </c>
      <c r="S177">
        <v>50.827579999999998</v>
      </c>
      <c r="T177">
        <v>-4.3521900000000002</v>
      </c>
      <c r="U177">
        <v>45</v>
      </c>
      <c r="V177">
        <v>0.9</v>
      </c>
      <c r="W177">
        <f t="shared" si="2"/>
        <v>80000</v>
      </c>
    </row>
    <row r="178" spans="1:23" x14ac:dyDescent="0.35">
      <c r="A178" t="s">
        <v>30</v>
      </c>
      <c r="B178" t="s">
        <v>31</v>
      </c>
      <c r="C178" t="s">
        <v>165</v>
      </c>
      <c r="D178" t="s">
        <v>714</v>
      </c>
      <c r="E178" t="s">
        <v>715</v>
      </c>
      <c r="F178">
        <v>1500</v>
      </c>
      <c r="G178">
        <v>0</v>
      </c>
      <c r="H178" t="s">
        <v>26</v>
      </c>
      <c r="I178" t="s">
        <v>27</v>
      </c>
      <c r="J178">
        <v>2013</v>
      </c>
      <c r="K178" t="s">
        <v>35</v>
      </c>
      <c r="L178" t="s">
        <v>716</v>
      </c>
      <c r="M178">
        <v>28000</v>
      </c>
      <c r="N178">
        <v>0</v>
      </c>
      <c r="O178">
        <v>0</v>
      </c>
      <c r="P178">
        <v>0</v>
      </c>
      <c r="Q178">
        <v>0</v>
      </c>
      <c r="R178">
        <v>28000</v>
      </c>
      <c r="S178">
        <v>52.355589999999999</v>
      </c>
      <c r="T178">
        <v>1.52678</v>
      </c>
      <c r="U178">
        <v>45</v>
      </c>
      <c r="V178">
        <v>0.9</v>
      </c>
      <c r="W178">
        <f t="shared" si="2"/>
        <v>28000</v>
      </c>
    </row>
    <row r="179" spans="1:23" x14ac:dyDescent="0.35">
      <c r="A179" t="s">
        <v>30</v>
      </c>
      <c r="B179" t="s">
        <v>288</v>
      </c>
      <c r="C179" t="s">
        <v>717</v>
      </c>
      <c r="D179" t="s">
        <v>718</v>
      </c>
      <c r="E179" t="s">
        <v>719</v>
      </c>
      <c r="F179">
        <v>194.5</v>
      </c>
      <c r="G179">
        <v>0</v>
      </c>
      <c r="H179" t="s">
        <v>26</v>
      </c>
      <c r="I179" t="s">
        <v>27</v>
      </c>
      <c r="J179">
        <v>2014</v>
      </c>
      <c r="K179" t="s">
        <v>28</v>
      </c>
      <c r="L179" t="s">
        <v>720</v>
      </c>
      <c r="M179">
        <v>12500</v>
      </c>
      <c r="N179">
        <v>10500</v>
      </c>
      <c r="O179">
        <v>2000</v>
      </c>
      <c r="P179">
        <v>0</v>
      </c>
      <c r="Q179">
        <v>0</v>
      </c>
      <c r="R179">
        <v>0</v>
      </c>
      <c r="S179">
        <v>52.782752500000001</v>
      </c>
      <c r="T179">
        <v>1.5034345</v>
      </c>
      <c r="U179">
        <v>45</v>
      </c>
      <c r="V179">
        <v>0.9</v>
      </c>
      <c r="W179">
        <f t="shared" si="2"/>
        <v>12500</v>
      </c>
    </row>
    <row r="180" spans="1:23" x14ac:dyDescent="0.35">
      <c r="A180" t="s">
        <v>22</v>
      </c>
      <c r="B180" t="s">
        <v>23</v>
      </c>
      <c r="C180" t="s">
        <v>721</v>
      </c>
      <c r="D180" t="s">
        <v>722</v>
      </c>
      <c r="E180" t="s">
        <v>723</v>
      </c>
      <c r="F180">
        <v>495</v>
      </c>
      <c r="G180">
        <v>0</v>
      </c>
      <c r="H180" t="s">
        <v>26</v>
      </c>
      <c r="I180" t="s">
        <v>27</v>
      </c>
      <c r="J180">
        <v>2014</v>
      </c>
      <c r="K180" t="s">
        <v>28</v>
      </c>
      <c r="L180" t="s">
        <v>724</v>
      </c>
      <c r="M180">
        <v>13300</v>
      </c>
      <c r="N180">
        <v>3000</v>
      </c>
      <c r="O180">
        <v>10300</v>
      </c>
      <c r="P180">
        <v>0</v>
      </c>
      <c r="Q180">
        <v>0</v>
      </c>
      <c r="R180">
        <v>0</v>
      </c>
      <c r="S180">
        <v>52.580963699999998</v>
      </c>
      <c r="T180">
        <v>-2.7576722999999999</v>
      </c>
      <c r="U180">
        <v>45</v>
      </c>
      <c r="V180">
        <v>0.9</v>
      </c>
      <c r="W180">
        <f t="shared" si="2"/>
        <v>13300</v>
      </c>
    </row>
    <row r="181" spans="1:23" x14ac:dyDescent="0.35">
      <c r="A181" t="s">
        <v>58</v>
      </c>
      <c r="B181" t="s">
        <v>59</v>
      </c>
      <c r="C181" t="s">
        <v>343</v>
      </c>
      <c r="D181" t="s">
        <v>725</v>
      </c>
      <c r="E181" t="s">
        <v>726</v>
      </c>
      <c r="F181">
        <v>475</v>
      </c>
      <c r="G181">
        <v>0</v>
      </c>
      <c r="H181" t="s">
        <v>26</v>
      </c>
      <c r="I181" t="s">
        <v>27</v>
      </c>
      <c r="J181">
        <v>2014</v>
      </c>
      <c r="K181" t="s">
        <v>28</v>
      </c>
      <c r="L181" t="s">
        <v>727</v>
      </c>
      <c r="M181">
        <v>10430</v>
      </c>
      <c r="N181">
        <v>4930</v>
      </c>
      <c r="O181">
        <v>5500</v>
      </c>
      <c r="P181">
        <v>0</v>
      </c>
      <c r="Q181">
        <v>0</v>
      </c>
      <c r="R181">
        <v>0</v>
      </c>
      <c r="S181">
        <v>53.177819900000003</v>
      </c>
      <c r="T181">
        <v>-0.10868999999999999</v>
      </c>
      <c r="U181">
        <v>45</v>
      </c>
      <c r="V181">
        <v>0.9</v>
      </c>
      <c r="W181">
        <f t="shared" si="2"/>
        <v>10430</v>
      </c>
    </row>
    <row r="182" spans="1:23" x14ac:dyDescent="0.35">
      <c r="A182" t="s">
        <v>163</v>
      </c>
      <c r="B182" t="s">
        <v>169</v>
      </c>
      <c r="C182" t="s">
        <v>728</v>
      </c>
      <c r="D182" t="s">
        <v>729</v>
      </c>
      <c r="E182" t="s">
        <v>730</v>
      </c>
      <c r="F182">
        <v>350</v>
      </c>
      <c r="G182">
        <v>0</v>
      </c>
      <c r="H182" t="s">
        <v>26</v>
      </c>
      <c r="I182" t="s">
        <v>27</v>
      </c>
      <c r="J182">
        <v>2011</v>
      </c>
      <c r="K182" t="s">
        <v>28</v>
      </c>
      <c r="L182" t="s">
        <v>731</v>
      </c>
      <c r="M182">
        <v>21000</v>
      </c>
      <c r="N182">
        <v>6000</v>
      </c>
      <c r="O182">
        <v>15000</v>
      </c>
      <c r="P182">
        <v>0</v>
      </c>
      <c r="Q182">
        <v>0</v>
      </c>
      <c r="R182">
        <v>0</v>
      </c>
      <c r="S182">
        <v>51.730400000000003</v>
      </c>
      <c r="T182">
        <v>-1.75241</v>
      </c>
      <c r="U182">
        <v>45</v>
      </c>
      <c r="V182">
        <v>0.9</v>
      </c>
      <c r="W182">
        <f t="shared" si="2"/>
        <v>21000</v>
      </c>
    </row>
    <row r="183" spans="1:23" x14ac:dyDescent="0.35">
      <c r="A183" t="s">
        <v>215</v>
      </c>
      <c r="B183" t="s">
        <v>386</v>
      </c>
      <c r="C183" t="s">
        <v>732</v>
      </c>
      <c r="D183" t="s">
        <v>733</v>
      </c>
      <c r="E183" t="s">
        <v>734</v>
      </c>
      <c r="F183">
        <v>500</v>
      </c>
      <c r="G183">
        <v>0</v>
      </c>
      <c r="H183" t="s">
        <v>26</v>
      </c>
      <c r="I183" t="s">
        <v>27</v>
      </c>
      <c r="J183">
        <v>2017</v>
      </c>
      <c r="K183" t="s">
        <v>28</v>
      </c>
      <c r="L183" t="s">
        <v>735</v>
      </c>
      <c r="M183">
        <v>16000</v>
      </c>
      <c r="N183">
        <v>10000</v>
      </c>
      <c r="O183">
        <v>6000</v>
      </c>
      <c r="P183">
        <v>0</v>
      </c>
      <c r="Q183">
        <v>0</v>
      </c>
      <c r="R183">
        <v>0</v>
      </c>
      <c r="S183">
        <v>54.617190299999997</v>
      </c>
      <c r="T183">
        <v>-1.4801787</v>
      </c>
      <c r="U183">
        <v>45</v>
      </c>
      <c r="V183">
        <v>0.9</v>
      </c>
      <c r="W183">
        <f t="shared" si="2"/>
        <v>16000</v>
      </c>
    </row>
    <row r="184" spans="1:23" x14ac:dyDescent="0.35">
      <c r="A184" t="s">
        <v>22</v>
      </c>
      <c r="B184" t="s">
        <v>23</v>
      </c>
      <c r="C184" t="s">
        <v>736</v>
      </c>
      <c r="D184" t="s">
        <v>737</v>
      </c>
      <c r="E184" t="s">
        <v>738</v>
      </c>
      <c r="F184">
        <v>487</v>
      </c>
      <c r="G184">
        <v>0</v>
      </c>
      <c r="H184" t="s">
        <v>26</v>
      </c>
      <c r="I184" t="s">
        <v>27</v>
      </c>
      <c r="J184">
        <v>2016</v>
      </c>
      <c r="K184" t="s">
        <v>35</v>
      </c>
      <c r="L184" t="s">
        <v>739</v>
      </c>
      <c r="M184">
        <v>15700</v>
      </c>
      <c r="N184">
        <v>2000</v>
      </c>
      <c r="O184">
        <v>0</v>
      </c>
      <c r="P184">
        <v>0</v>
      </c>
      <c r="Q184">
        <v>0</v>
      </c>
      <c r="R184">
        <v>13700</v>
      </c>
      <c r="S184">
        <v>52.72296</v>
      </c>
      <c r="T184">
        <v>-2.4718</v>
      </c>
      <c r="U184">
        <v>45</v>
      </c>
      <c r="V184">
        <v>0.9</v>
      </c>
      <c r="W184">
        <f t="shared" si="2"/>
        <v>15700</v>
      </c>
    </row>
    <row r="185" spans="1:23" x14ac:dyDescent="0.35">
      <c r="A185" t="s">
        <v>58</v>
      </c>
      <c r="B185" t="s">
        <v>145</v>
      </c>
      <c r="C185" t="s">
        <v>740</v>
      </c>
      <c r="D185" t="s">
        <v>741</v>
      </c>
      <c r="E185" t="s">
        <v>742</v>
      </c>
      <c r="F185">
        <v>2000</v>
      </c>
      <c r="G185">
        <v>0</v>
      </c>
      <c r="H185" t="s">
        <v>26</v>
      </c>
      <c r="I185" t="s">
        <v>27</v>
      </c>
      <c r="J185">
        <v>2021</v>
      </c>
      <c r="K185" t="s">
        <v>28</v>
      </c>
      <c r="L185" t="s">
        <v>743</v>
      </c>
      <c r="M185">
        <v>30000</v>
      </c>
      <c r="N185">
        <v>6000</v>
      </c>
      <c r="O185">
        <v>24000</v>
      </c>
      <c r="P185">
        <v>0</v>
      </c>
      <c r="Q185">
        <v>0</v>
      </c>
      <c r="R185">
        <v>0</v>
      </c>
      <c r="S185">
        <v>52.614750000000001</v>
      </c>
      <c r="T185">
        <v>-1.0210699999999999</v>
      </c>
      <c r="U185">
        <v>45</v>
      </c>
      <c r="V185">
        <v>0.9</v>
      </c>
      <c r="W185">
        <f t="shared" si="2"/>
        <v>30000</v>
      </c>
    </row>
    <row r="186" spans="1:23" x14ac:dyDescent="0.35">
      <c r="A186" t="s">
        <v>76</v>
      </c>
      <c r="B186" t="s">
        <v>120</v>
      </c>
      <c r="C186" t="s">
        <v>744</v>
      </c>
      <c r="D186" t="s">
        <v>745</v>
      </c>
      <c r="E186" t="s">
        <v>746</v>
      </c>
      <c r="F186">
        <v>400</v>
      </c>
      <c r="G186">
        <v>600</v>
      </c>
      <c r="H186" t="s">
        <v>34</v>
      </c>
      <c r="I186" t="s">
        <v>27</v>
      </c>
      <c r="J186">
        <v>2014</v>
      </c>
      <c r="K186" t="s">
        <v>28</v>
      </c>
      <c r="L186" t="s">
        <v>747</v>
      </c>
      <c r="M186">
        <v>34000</v>
      </c>
      <c r="N186">
        <v>10000</v>
      </c>
      <c r="O186">
        <v>24000</v>
      </c>
      <c r="P186">
        <v>0</v>
      </c>
      <c r="Q186">
        <v>0</v>
      </c>
      <c r="R186">
        <v>0</v>
      </c>
      <c r="S186">
        <v>51.552729900000003</v>
      </c>
      <c r="T186">
        <v>-1.1024400000000001</v>
      </c>
      <c r="U186">
        <v>45</v>
      </c>
      <c r="V186">
        <v>0.9</v>
      </c>
      <c r="W186">
        <f t="shared" si="2"/>
        <v>34000</v>
      </c>
    </row>
    <row r="187" spans="1:23" x14ac:dyDescent="0.35">
      <c r="A187" t="s">
        <v>48</v>
      </c>
      <c r="B187" t="s">
        <v>49</v>
      </c>
      <c r="C187" t="s">
        <v>748</v>
      </c>
      <c r="D187" t="s">
        <v>749</v>
      </c>
      <c r="E187" t="s">
        <v>750</v>
      </c>
      <c r="F187">
        <v>5100</v>
      </c>
      <c r="G187">
        <v>0</v>
      </c>
      <c r="H187" t="s">
        <v>26</v>
      </c>
      <c r="I187" t="s">
        <v>27</v>
      </c>
      <c r="J187">
        <v>2017</v>
      </c>
      <c r="K187" t="s">
        <v>35</v>
      </c>
      <c r="L187" t="s">
        <v>751</v>
      </c>
      <c r="M187">
        <v>125000</v>
      </c>
      <c r="N187">
        <v>0</v>
      </c>
      <c r="O187">
        <v>40000</v>
      </c>
      <c r="P187">
        <v>40000</v>
      </c>
      <c r="Q187">
        <v>5000</v>
      </c>
      <c r="R187">
        <v>40000</v>
      </c>
      <c r="S187">
        <v>54.581659999999999</v>
      </c>
      <c r="T187">
        <v>-1.18319</v>
      </c>
      <c r="U187">
        <v>45</v>
      </c>
      <c r="V187">
        <v>0.9</v>
      </c>
      <c r="W187">
        <f t="shared" si="2"/>
        <v>125000</v>
      </c>
    </row>
    <row r="188" spans="1:23" x14ac:dyDescent="0.35">
      <c r="A188" t="s">
        <v>102</v>
      </c>
      <c r="B188" t="s">
        <v>154</v>
      </c>
      <c r="C188" t="s">
        <v>752</v>
      </c>
      <c r="D188" t="s">
        <v>753</v>
      </c>
      <c r="E188" t="s">
        <v>754</v>
      </c>
      <c r="F188">
        <v>2000</v>
      </c>
      <c r="G188">
        <v>500</v>
      </c>
      <c r="H188" t="s">
        <v>34</v>
      </c>
      <c r="I188" t="s">
        <v>27</v>
      </c>
      <c r="J188">
        <v>2016</v>
      </c>
      <c r="K188" t="s">
        <v>28</v>
      </c>
      <c r="L188" t="s">
        <v>755</v>
      </c>
      <c r="M188">
        <v>40000</v>
      </c>
      <c r="N188">
        <v>0</v>
      </c>
      <c r="O188">
        <v>26000</v>
      </c>
      <c r="P188">
        <v>0</v>
      </c>
      <c r="Q188">
        <v>0</v>
      </c>
      <c r="R188">
        <v>14000</v>
      </c>
      <c r="S188">
        <v>56.17698</v>
      </c>
      <c r="T188">
        <v>-3.2227999999999999</v>
      </c>
      <c r="U188">
        <v>45</v>
      </c>
      <c r="V188">
        <v>0.9</v>
      </c>
      <c r="W188">
        <f t="shared" si="2"/>
        <v>40000</v>
      </c>
    </row>
    <row r="189" spans="1:23" x14ac:dyDescent="0.35">
      <c r="A189" t="s">
        <v>102</v>
      </c>
      <c r="B189" t="s">
        <v>587</v>
      </c>
      <c r="C189" t="s">
        <v>756</v>
      </c>
      <c r="D189" t="s">
        <v>757</v>
      </c>
      <c r="E189" t="s">
        <v>758</v>
      </c>
      <c r="F189">
        <v>250</v>
      </c>
      <c r="G189">
        <v>500</v>
      </c>
      <c r="H189" t="s">
        <v>34</v>
      </c>
      <c r="I189" t="s">
        <v>27</v>
      </c>
      <c r="J189">
        <v>2017</v>
      </c>
      <c r="K189" t="s">
        <v>35</v>
      </c>
      <c r="L189" t="s">
        <v>283</v>
      </c>
      <c r="M189">
        <v>36500</v>
      </c>
      <c r="N189">
        <v>0</v>
      </c>
      <c r="O189">
        <v>0</v>
      </c>
      <c r="P189">
        <v>0</v>
      </c>
      <c r="Q189">
        <v>0</v>
      </c>
      <c r="R189">
        <v>36500</v>
      </c>
      <c r="S189">
        <v>57.694110000000002</v>
      </c>
      <c r="T189">
        <v>-4.1564699999999997</v>
      </c>
      <c r="U189">
        <v>45</v>
      </c>
      <c r="V189">
        <v>0.9</v>
      </c>
      <c r="W189">
        <f t="shared" si="2"/>
        <v>36500</v>
      </c>
    </row>
    <row r="190" spans="1:23" x14ac:dyDescent="0.35">
      <c r="A190" t="s">
        <v>102</v>
      </c>
      <c r="B190" t="s">
        <v>154</v>
      </c>
      <c r="C190" t="s">
        <v>759</v>
      </c>
      <c r="D190" t="s">
        <v>760</v>
      </c>
      <c r="E190" t="s">
        <v>761</v>
      </c>
      <c r="F190">
        <v>249</v>
      </c>
      <c r="G190">
        <v>605</v>
      </c>
      <c r="H190" t="s">
        <v>34</v>
      </c>
      <c r="I190" t="s">
        <v>27</v>
      </c>
      <c r="J190">
        <v>2014</v>
      </c>
      <c r="K190" t="s">
        <v>28</v>
      </c>
      <c r="L190" t="s">
        <v>762</v>
      </c>
      <c r="M190">
        <v>36000</v>
      </c>
      <c r="N190">
        <v>6000</v>
      </c>
      <c r="O190">
        <v>30000</v>
      </c>
      <c r="P190">
        <v>0</v>
      </c>
      <c r="Q190">
        <v>0</v>
      </c>
      <c r="R190">
        <v>0</v>
      </c>
      <c r="S190">
        <v>56.534840000000003</v>
      </c>
      <c r="T190">
        <v>-3.2899500000000002</v>
      </c>
      <c r="U190">
        <v>45</v>
      </c>
      <c r="V190">
        <v>0.9</v>
      </c>
      <c r="W190">
        <f t="shared" si="2"/>
        <v>36000</v>
      </c>
    </row>
    <row r="191" spans="1:23" x14ac:dyDescent="0.35">
      <c r="A191" t="s">
        <v>76</v>
      </c>
      <c r="B191" t="s">
        <v>182</v>
      </c>
      <c r="C191" t="s">
        <v>763</v>
      </c>
      <c r="D191" t="s">
        <v>764</v>
      </c>
      <c r="E191" t="s">
        <v>765</v>
      </c>
      <c r="F191">
        <v>500</v>
      </c>
      <c r="G191">
        <v>1000</v>
      </c>
      <c r="H191" t="s">
        <v>34</v>
      </c>
      <c r="I191" t="s">
        <v>27</v>
      </c>
      <c r="J191">
        <v>2022</v>
      </c>
      <c r="K191" t="s">
        <v>35</v>
      </c>
      <c r="L191" t="s">
        <v>766</v>
      </c>
      <c r="M191">
        <v>20000</v>
      </c>
      <c r="N191">
        <v>0</v>
      </c>
      <c r="O191">
        <v>0</v>
      </c>
      <c r="P191">
        <v>0</v>
      </c>
      <c r="Q191">
        <v>0</v>
      </c>
      <c r="R191">
        <v>20000</v>
      </c>
      <c r="S191">
        <v>51.380499999999998</v>
      </c>
      <c r="T191">
        <v>0.75900000000000001</v>
      </c>
      <c r="U191">
        <v>45</v>
      </c>
      <c r="V191">
        <v>0.9</v>
      </c>
      <c r="W191">
        <f t="shared" si="2"/>
        <v>20000</v>
      </c>
    </row>
    <row r="192" spans="1:23" x14ac:dyDescent="0.35">
      <c r="A192" t="s">
        <v>30</v>
      </c>
      <c r="B192" t="s">
        <v>288</v>
      </c>
      <c r="C192" t="s">
        <v>767</v>
      </c>
      <c r="D192" t="s">
        <v>768</v>
      </c>
      <c r="E192" t="s">
        <v>769</v>
      </c>
      <c r="F192">
        <v>1200</v>
      </c>
      <c r="G192">
        <v>0</v>
      </c>
      <c r="H192" t="s">
        <v>26</v>
      </c>
      <c r="I192" t="s">
        <v>27</v>
      </c>
      <c r="J192">
        <v>2015</v>
      </c>
      <c r="K192" t="s">
        <v>28</v>
      </c>
      <c r="L192" t="s">
        <v>770</v>
      </c>
      <c r="M192">
        <v>26805</v>
      </c>
      <c r="N192">
        <v>9650</v>
      </c>
      <c r="O192">
        <v>17155</v>
      </c>
      <c r="P192">
        <v>0</v>
      </c>
      <c r="Q192">
        <v>0</v>
      </c>
      <c r="R192">
        <v>0</v>
      </c>
      <c r="S192">
        <v>52.430489999999999</v>
      </c>
      <c r="T192">
        <v>0.99214000000000002</v>
      </c>
      <c r="U192">
        <v>45</v>
      </c>
      <c r="V192">
        <v>0.9</v>
      </c>
      <c r="W192">
        <f t="shared" si="2"/>
        <v>26805</v>
      </c>
    </row>
    <row r="193" spans="1:23" x14ac:dyDescent="0.35">
      <c r="A193" t="s">
        <v>163</v>
      </c>
      <c r="B193" t="s">
        <v>164</v>
      </c>
      <c r="C193" t="s">
        <v>771</v>
      </c>
      <c r="D193" t="s">
        <v>772</v>
      </c>
      <c r="E193" t="s">
        <v>773</v>
      </c>
      <c r="F193">
        <v>500</v>
      </c>
      <c r="G193">
        <v>0</v>
      </c>
      <c r="H193" t="s">
        <v>26</v>
      </c>
      <c r="I193" t="s">
        <v>27</v>
      </c>
      <c r="J193">
        <v>2012</v>
      </c>
      <c r="K193" t="s">
        <v>35</v>
      </c>
      <c r="L193" t="s">
        <v>85</v>
      </c>
      <c r="M193">
        <v>18250</v>
      </c>
      <c r="N193">
        <v>0</v>
      </c>
      <c r="O193">
        <v>0</v>
      </c>
      <c r="P193">
        <v>18250</v>
      </c>
      <c r="Q193">
        <v>0</v>
      </c>
      <c r="R193">
        <v>0</v>
      </c>
      <c r="S193">
        <v>51.638219900000003</v>
      </c>
      <c r="T193">
        <v>-1.8378099999999999</v>
      </c>
      <c r="U193">
        <v>45</v>
      </c>
      <c r="V193">
        <v>0.9</v>
      </c>
      <c r="W193">
        <f t="shared" si="2"/>
        <v>18250</v>
      </c>
    </row>
    <row r="194" spans="1:23" x14ac:dyDescent="0.35">
      <c r="A194" t="s">
        <v>70</v>
      </c>
      <c r="B194" t="s">
        <v>71</v>
      </c>
      <c r="C194" t="s">
        <v>774</v>
      </c>
      <c r="D194" t="s">
        <v>775</v>
      </c>
      <c r="E194" t="s">
        <v>776</v>
      </c>
      <c r="F194">
        <v>470</v>
      </c>
      <c r="G194">
        <v>0</v>
      </c>
      <c r="H194" t="s">
        <v>26</v>
      </c>
      <c r="I194" t="s">
        <v>27</v>
      </c>
      <c r="J194">
        <v>2014</v>
      </c>
      <c r="K194" t="s">
        <v>28</v>
      </c>
      <c r="L194" t="s">
        <v>381</v>
      </c>
      <c r="M194">
        <v>16000</v>
      </c>
      <c r="N194">
        <v>11000</v>
      </c>
      <c r="O194">
        <v>5000</v>
      </c>
      <c r="P194">
        <v>0</v>
      </c>
      <c r="Q194">
        <v>0</v>
      </c>
      <c r="R194">
        <v>0</v>
      </c>
      <c r="S194">
        <v>54.894151700000002</v>
      </c>
      <c r="T194">
        <v>-3.2012748000000002</v>
      </c>
      <c r="U194">
        <v>45</v>
      </c>
      <c r="V194">
        <v>0.9</v>
      </c>
      <c r="W194">
        <f t="shared" si="2"/>
        <v>16000</v>
      </c>
    </row>
    <row r="195" spans="1:23" x14ac:dyDescent="0.35">
      <c r="A195" t="s">
        <v>58</v>
      </c>
      <c r="B195" t="s">
        <v>59</v>
      </c>
      <c r="C195" t="s">
        <v>343</v>
      </c>
      <c r="D195" t="s">
        <v>777</v>
      </c>
      <c r="E195" t="s">
        <v>778</v>
      </c>
      <c r="F195">
        <v>475</v>
      </c>
      <c r="G195">
        <v>0</v>
      </c>
      <c r="H195" t="s">
        <v>26</v>
      </c>
      <c r="I195" t="s">
        <v>27</v>
      </c>
      <c r="J195">
        <v>2014</v>
      </c>
      <c r="K195" t="s">
        <v>28</v>
      </c>
      <c r="L195" t="s">
        <v>779</v>
      </c>
      <c r="M195">
        <v>12755</v>
      </c>
      <c r="N195">
        <v>3255</v>
      </c>
      <c r="O195">
        <v>6300</v>
      </c>
      <c r="P195">
        <v>0</v>
      </c>
      <c r="Q195">
        <v>3200</v>
      </c>
      <c r="R195">
        <v>0</v>
      </c>
      <c r="S195">
        <v>53.023099999999999</v>
      </c>
      <c r="T195">
        <v>-0.12173</v>
      </c>
      <c r="U195">
        <v>45</v>
      </c>
      <c r="V195">
        <v>0.9</v>
      </c>
      <c r="W195">
        <f t="shared" ref="W195:W258" si="3">M195</f>
        <v>12755</v>
      </c>
    </row>
    <row r="196" spans="1:23" x14ac:dyDescent="0.35">
      <c r="A196" t="s">
        <v>48</v>
      </c>
      <c r="B196" t="s">
        <v>351</v>
      </c>
      <c r="C196" t="s">
        <v>780</v>
      </c>
      <c r="D196" t="s">
        <v>781</v>
      </c>
      <c r="E196" t="s">
        <v>782</v>
      </c>
      <c r="F196">
        <v>2800</v>
      </c>
      <c r="G196">
        <v>1064</v>
      </c>
      <c r="H196" t="s">
        <v>34</v>
      </c>
      <c r="I196" t="s">
        <v>27</v>
      </c>
      <c r="J196">
        <v>2019</v>
      </c>
      <c r="K196" t="s">
        <v>28</v>
      </c>
      <c r="L196" t="s">
        <v>783</v>
      </c>
      <c r="M196">
        <v>70000</v>
      </c>
      <c r="N196">
        <v>10400</v>
      </c>
      <c r="O196">
        <v>29300</v>
      </c>
      <c r="P196">
        <v>29300</v>
      </c>
      <c r="Q196">
        <v>1000</v>
      </c>
      <c r="R196">
        <v>0</v>
      </c>
      <c r="S196">
        <v>53.629649999999998</v>
      </c>
      <c r="T196">
        <v>-1.3315699999999999</v>
      </c>
      <c r="U196">
        <v>45</v>
      </c>
      <c r="V196">
        <v>0.9</v>
      </c>
      <c r="W196">
        <f t="shared" si="3"/>
        <v>70000</v>
      </c>
    </row>
    <row r="197" spans="1:23" x14ac:dyDescent="0.35">
      <c r="A197" t="s">
        <v>163</v>
      </c>
      <c r="B197" t="s">
        <v>358</v>
      </c>
      <c r="C197" t="s">
        <v>784</v>
      </c>
      <c r="D197" t="s">
        <v>784</v>
      </c>
      <c r="E197" t="s">
        <v>785</v>
      </c>
      <c r="F197">
        <v>490</v>
      </c>
      <c r="G197">
        <v>0</v>
      </c>
      <c r="H197" t="s">
        <v>26</v>
      </c>
      <c r="I197" t="s">
        <v>27</v>
      </c>
      <c r="J197">
        <v>2011</v>
      </c>
      <c r="K197" t="s">
        <v>35</v>
      </c>
      <c r="L197" t="s">
        <v>786</v>
      </c>
      <c r="M197">
        <v>20000</v>
      </c>
      <c r="N197">
        <v>400</v>
      </c>
      <c r="O197">
        <v>100</v>
      </c>
      <c r="P197">
        <v>19500</v>
      </c>
      <c r="Q197">
        <v>0</v>
      </c>
      <c r="R197">
        <v>0</v>
      </c>
      <c r="S197">
        <v>50.386049999999997</v>
      </c>
      <c r="T197">
        <v>-3.9822500000000001</v>
      </c>
      <c r="U197">
        <v>45</v>
      </c>
      <c r="V197">
        <v>0.9</v>
      </c>
      <c r="W197">
        <f t="shared" si="3"/>
        <v>20000</v>
      </c>
    </row>
    <row r="198" spans="1:23" x14ac:dyDescent="0.35">
      <c r="A198" t="s">
        <v>58</v>
      </c>
      <c r="B198" t="s">
        <v>59</v>
      </c>
      <c r="C198" t="s">
        <v>787</v>
      </c>
      <c r="D198" t="s">
        <v>788</v>
      </c>
      <c r="E198" t="s">
        <v>789</v>
      </c>
      <c r="F198">
        <v>475</v>
      </c>
      <c r="G198">
        <v>0</v>
      </c>
      <c r="H198" t="s">
        <v>26</v>
      </c>
      <c r="I198" t="s">
        <v>27</v>
      </c>
      <c r="J198">
        <v>2015</v>
      </c>
      <c r="K198" t="s">
        <v>28</v>
      </c>
      <c r="L198" t="s">
        <v>790</v>
      </c>
      <c r="M198">
        <v>16175</v>
      </c>
      <c r="N198">
        <v>8500</v>
      </c>
      <c r="O198">
        <v>7675</v>
      </c>
      <c r="P198">
        <v>0</v>
      </c>
      <c r="Q198">
        <v>0</v>
      </c>
      <c r="R198">
        <v>0</v>
      </c>
      <c r="S198">
        <v>53.426600000000001</v>
      </c>
      <c r="T198">
        <v>-0.57425000000000004</v>
      </c>
      <c r="U198">
        <v>45</v>
      </c>
      <c r="V198">
        <v>0.9</v>
      </c>
      <c r="W198">
        <f t="shared" si="3"/>
        <v>16175</v>
      </c>
    </row>
    <row r="199" spans="1:23" x14ac:dyDescent="0.35">
      <c r="A199" t="s">
        <v>22</v>
      </c>
      <c r="B199" t="s">
        <v>23</v>
      </c>
      <c r="C199" t="s">
        <v>791</v>
      </c>
      <c r="D199" t="s">
        <v>792</v>
      </c>
      <c r="E199" t="s">
        <v>793</v>
      </c>
      <c r="F199">
        <v>465</v>
      </c>
      <c r="G199">
        <v>0</v>
      </c>
      <c r="H199" t="s">
        <v>26</v>
      </c>
      <c r="I199" t="s">
        <v>27</v>
      </c>
      <c r="J199">
        <v>2014</v>
      </c>
      <c r="K199" t="s">
        <v>28</v>
      </c>
      <c r="L199" t="s">
        <v>794</v>
      </c>
      <c r="M199">
        <v>10500</v>
      </c>
      <c r="N199">
        <v>3000</v>
      </c>
      <c r="O199">
        <v>7500</v>
      </c>
      <c r="P199">
        <v>0</v>
      </c>
      <c r="Q199">
        <v>0</v>
      </c>
      <c r="R199">
        <v>0</v>
      </c>
      <c r="S199">
        <v>52.671340000000001</v>
      </c>
      <c r="T199">
        <v>-2.8649100000000001</v>
      </c>
      <c r="U199">
        <v>45</v>
      </c>
      <c r="V199">
        <v>0.9</v>
      </c>
      <c r="W199">
        <f t="shared" si="3"/>
        <v>10500</v>
      </c>
    </row>
    <row r="200" spans="1:23" x14ac:dyDescent="0.35">
      <c r="A200" t="s">
        <v>48</v>
      </c>
      <c r="B200" t="s">
        <v>49</v>
      </c>
      <c r="C200" t="s">
        <v>795</v>
      </c>
      <c r="D200" t="s">
        <v>796</v>
      </c>
      <c r="E200" t="s">
        <v>797</v>
      </c>
      <c r="F200">
        <v>449</v>
      </c>
      <c r="G200">
        <v>550</v>
      </c>
      <c r="H200" t="s">
        <v>34</v>
      </c>
      <c r="I200" t="s">
        <v>27</v>
      </c>
      <c r="J200">
        <v>2015</v>
      </c>
      <c r="K200" t="s">
        <v>35</v>
      </c>
      <c r="L200" t="s">
        <v>798</v>
      </c>
      <c r="M200">
        <v>80000</v>
      </c>
      <c r="N200">
        <v>0</v>
      </c>
      <c r="O200">
        <v>0</v>
      </c>
      <c r="P200">
        <v>30000</v>
      </c>
      <c r="Q200">
        <v>25000</v>
      </c>
      <c r="R200">
        <v>25000</v>
      </c>
      <c r="S200">
        <v>54.290640000000003</v>
      </c>
      <c r="T200">
        <v>-1.54223</v>
      </c>
      <c r="U200">
        <v>45</v>
      </c>
      <c r="V200">
        <v>0.9</v>
      </c>
      <c r="W200">
        <f t="shared" si="3"/>
        <v>80000</v>
      </c>
    </row>
    <row r="201" spans="1:23" x14ac:dyDescent="0.35">
      <c r="A201" t="s">
        <v>76</v>
      </c>
      <c r="B201" t="s">
        <v>182</v>
      </c>
      <c r="C201" t="s">
        <v>799</v>
      </c>
      <c r="D201" t="s">
        <v>800</v>
      </c>
      <c r="E201" t="s">
        <v>801</v>
      </c>
      <c r="F201">
        <v>400</v>
      </c>
      <c r="G201">
        <v>0</v>
      </c>
      <c r="H201" t="s">
        <v>26</v>
      </c>
      <c r="I201" t="s">
        <v>27</v>
      </c>
      <c r="J201">
        <v>2016</v>
      </c>
      <c r="K201" t="s">
        <v>28</v>
      </c>
      <c r="L201" t="s">
        <v>802</v>
      </c>
      <c r="M201">
        <v>17035</v>
      </c>
      <c r="N201">
        <v>10000</v>
      </c>
      <c r="O201">
        <v>435</v>
      </c>
      <c r="P201">
        <v>0</v>
      </c>
      <c r="Q201">
        <v>6600</v>
      </c>
      <c r="R201">
        <v>0</v>
      </c>
      <c r="S201">
        <v>51.22569</v>
      </c>
      <c r="T201">
        <v>0.56874999999999998</v>
      </c>
      <c r="U201">
        <v>45</v>
      </c>
      <c r="V201">
        <v>0.9</v>
      </c>
      <c r="W201">
        <f t="shared" si="3"/>
        <v>17035</v>
      </c>
    </row>
    <row r="202" spans="1:23" x14ac:dyDescent="0.35">
      <c r="A202" t="s">
        <v>102</v>
      </c>
      <c r="B202" t="s">
        <v>154</v>
      </c>
      <c r="C202" t="s">
        <v>803</v>
      </c>
      <c r="D202" t="s">
        <v>804</v>
      </c>
      <c r="E202" t="s">
        <v>805</v>
      </c>
      <c r="F202">
        <v>500</v>
      </c>
      <c r="G202">
        <v>0</v>
      </c>
      <c r="H202" t="s">
        <v>26</v>
      </c>
      <c r="I202" t="s">
        <v>27</v>
      </c>
      <c r="J202" t="s">
        <v>46</v>
      </c>
      <c r="K202" t="s">
        <v>35</v>
      </c>
      <c r="L202" t="s">
        <v>806</v>
      </c>
      <c r="M202">
        <v>25000</v>
      </c>
      <c r="N202">
        <v>0</v>
      </c>
      <c r="O202">
        <v>0</v>
      </c>
      <c r="P202">
        <v>25000</v>
      </c>
      <c r="Q202">
        <v>0</v>
      </c>
      <c r="R202">
        <v>0</v>
      </c>
      <c r="S202">
        <v>55.77816</v>
      </c>
      <c r="T202">
        <v>-3.6760700000000002</v>
      </c>
      <c r="U202">
        <v>45</v>
      </c>
      <c r="V202">
        <v>0.9</v>
      </c>
      <c r="W202">
        <f t="shared" si="3"/>
        <v>25000</v>
      </c>
    </row>
    <row r="203" spans="1:23" x14ac:dyDescent="0.35">
      <c r="A203" t="s">
        <v>70</v>
      </c>
      <c r="B203" t="s">
        <v>71</v>
      </c>
      <c r="C203" t="s">
        <v>807</v>
      </c>
      <c r="D203" t="s">
        <v>808</v>
      </c>
      <c r="E203" t="s">
        <v>809</v>
      </c>
      <c r="F203">
        <v>490</v>
      </c>
      <c r="G203">
        <v>0</v>
      </c>
      <c r="H203" t="s">
        <v>26</v>
      </c>
      <c r="I203" t="s">
        <v>27</v>
      </c>
      <c r="J203">
        <v>2012</v>
      </c>
      <c r="K203" t="s">
        <v>28</v>
      </c>
      <c r="L203" t="s">
        <v>810</v>
      </c>
      <c r="M203">
        <v>25000</v>
      </c>
      <c r="N203">
        <v>17500</v>
      </c>
      <c r="O203">
        <v>7500</v>
      </c>
      <c r="P203">
        <v>0</v>
      </c>
      <c r="Q203">
        <v>0</v>
      </c>
      <c r="R203">
        <v>0</v>
      </c>
      <c r="S203">
        <v>54.917319999999997</v>
      </c>
      <c r="T203">
        <v>-2.8963000000000001</v>
      </c>
      <c r="U203">
        <v>45</v>
      </c>
      <c r="V203">
        <v>0.9</v>
      </c>
      <c r="W203">
        <f t="shared" si="3"/>
        <v>25000</v>
      </c>
    </row>
    <row r="204" spans="1:23" x14ac:dyDescent="0.35">
      <c r="A204" t="s">
        <v>37</v>
      </c>
      <c r="B204" t="s">
        <v>115</v>
      </c>
      <c r="C204" t="s">
        <v>811</v>
      </c>
      <c r="D204" t="s">
        <v>812</v>
      </c>
      <c r="E204" t="s">
        <v>813</v>
      </c>
      <c r="F204">
        <v>500</v>
      </c>
      <c r="G204">
        <v>0</v>
      </c>
      <c r="H204" t="s">
        <v>26</v>
      </c>
      <c r="I204" t="s">
        <v>27</v>
      </c>
      <c r="J204">
        <v>2015</v>
      </c>
      <c r="K204" t="s">
        <v>35</v>
      </c>
      <c r="L204" t="s">
        <v>814</v>
      </c>
      <c r="M204">
        <v>15000</v>
      </c>
      <c r="N204">
        <v>0</v>
      </c>
      <c r="O204">
        <v>0</v>
      </c>
      <c r="P204">
        <v>0</v>
      </c>
      <c r="Q204">
        <v>0</v>
      </c>
      <c r="R204">
        <v>15000</v>
      </c>
      <c r="S204">
        <v>55.027953650000001</v>
      </c>
      <c r="T204">
        <v>-7.2647873499999998</v>
      </c>
      <c r="U204">
        <v>45</v>
      </c>
      <c r="V204">
        <v>0.9</v>
      </c>
      <c r="W204">
        <f t="shared" si="3"/>
        <v>15000</v>
      </c>
    </row>
    <row r="205" spans="1:23" x14ac:dyDescent="0.35">
      <c r="A205" t="s">
        <v>22</v>
      </c>
      <c r="B205" t="s">
        <v>202</v>
      </c>
      <c r="C205" t="s">
        <v>815</v>
      </c>
      <c r="D205" t="s">
        <v>816</v>
      </c>
      <c r="E205" t="s">
        <v>817</v>
      </c>
      <c r="F205">
        <v>465</v>
      </c>
      <c r="G205">
        <v>0</v>
      </c>
      <c r="H205" t="s">
        <v>26</v>
      </c>
      <c r="I205" t="s">
        <v>27</v>
      </c>
      <c r="J205">
        <v>2014</v>
      </c>
      <c r="K205" t="s">
        <v>28</v>
      </c>
      <c r="L205" t="s">
        <v>176</v>
      </c>
      <c r="M205">
        <v>11900</v>
      </c>
      <c r="N205">
        <v>0</v>
      </c>
      <c r="O205">
        <v>11900</v>
      </c>
      <c r="P205">
        <v>0</v>
      </c>
      <c r="Q205">
        <v>0</v>
      </c>
      <c r="R205">
        <v>0</v>
      </c>
      <c r="S205">
        <v>51.926470000000002</v>
      </c>
      <c r="T205">
        <v>-2.6700200000000001</v>
      </c>
      <c r="U205">
        <v>45</v>
      </c>
      <c r="V205">
        <v>0.9</v>
      </c>
      <c r="W205">
        <f t="shared" si="3"/>
        <v>11900</v>
      </c>
    </row>
    <row r="206" spans="1:23" x14ac:dyDescent="0.35">
      <c r="A206" t="s">
        <v>30</v>
      </c>
      <c r="B206" t="s">
        <v>43</v>
      </c>
      <c r="C206" t="s">
        <v>666</v>
      </c>
      <c r="D206" t="s">
        <v>818</v>
      </c>
      <c r="E206" t="s">
        <v>819</v>
      </c>
      <c r="F206">
        <v>5000</v>
      </c>
      <c r="G206">
        <v>950</v>
      </c>
      <c r="H206" t="s">
        <v>34</v>
      </c>
      <c r="I206" t="s">
        <v>27</v>
      </c>
      <c r="J206">
        <v>2011</v>
      </c>
      <c r="K206" t="s">
        <v>35</v>
      </c>
      <c r="L206" t="s">
        <v>85</v>
      </c>
      <c r="M206">
        <v>120000</v>
      </c>
      <c r="N206">
        <v>0</v>
      </c>
      <c r="O206">
        <v>0</v>
      </c>
      <c r="P206">
        <v>120000</v>
      </c>
      <c r="Q206">
        <v>0</v>
      </c>
      <c r="R206">
        <v>0</v>
      </c>
      <c r="S206">
        <v>52.568370000000002</v>
      </c>
      <c r="T206">
        <v>6.1030000000000001E-2</v>
      </c>
      <c r="U206">
        <v>45</v>
      </c>
      <c r="V206">
        <v>0.9</v>
      </c>
      <c r="W206">
        <f t="shared" si="3"/>
        <v>120000</v>
      </c>
    </row>
    <row r="207" spans="1:23" x14ac:dyDescent="0.35">
      <c r="A207" t="s">
        <v>102</v>
      </c>
      <c r="B207" t="s">
        <v>154</v>
      </c>
      <c r="C207" t="s">
        <v>820</v>
      </c>
      <c r="D207" t="s">
        <v>821</v>
      </c>
      <c r="E207" t="s">
        <v>822</v>
      </c>
      <c r="F207">
        <v>1140</v>
      </c>
      <c r="G207">
        <v>0</v>
      </c>
      <c r="H207" t="s">
        <v>26</v>
      </c>
      <c r="I207" t="s">
        <v>27</v>
      </c>
      <c r="J207">
        <v>2013</v>
      </c>
      <c r="K207" t="s">
        <v>35</v>
      </c>
      <c r="L207" t="s">
        <v>57</v>
      </c>
      <c r="M207">
        <v>45000</v>
      </c>
      <c r="N207">
        <v>0</v>
      </c>
      <c r="O207">
        <v>0</v>
      </c>
      <c r="P207">
        <v>20000</v>
      </c>
      <c r="Q207">
        <v>0</v>
      </c>
      <c r="R207">
        <v>25000</v>
      </c>
      <c r="S207">
        <v>56.095933799999997</v>
      </c>
      <c r="T207">
        <v>-3.473293</v>
      </c>
      <c r="U207">
        <v>45</v>
      </c>
      <c r="V207">
        <v>0.9</v>
      </c>
      <c r="W207">
        <f t="shared" si="3"/>
        <v>45000</v>
      </c>
    </row>
    <row r="208" spans="1:23" x14ac:dyDescent="0.35">
      <c r="A208" t="s">
        <v>102</v>
      </c>
      <c r="B208" t="s">
        <v>103</v>
      </c>
      <c r="C208" t="s">
        <v>823</v>
      </c>
      <c r="D208" t="s">
        <v>824</v>
      </c>
      <c r="E208" t="s">
        <v>825</v>
      </c>
      <c r="F208">
        <v>500</v>
      </c>
      <c r="G208">
        <v>768</v>
      </c>
      <c r="H208" t="s">
        <v>373</v>
      </c>
      <c r="I208" t="s">
        <v>27</v>
      </c>
      <c r="J208">
        <v>2018</v>
      </c>
      <c r="K208" t="s">
        <v>35</v>
      </c>
      <c r="L208" t="s">
        <v>826</v>
      </c>
      <c r="M208">
        <v>98250</v>
      </c>
      <c r="N208">
        <v>0</v>
      </c>
      <c r="O208">
        <v>0</v>
      </c>
      <c r="P208">
        <v>0</v>
      </c>
      <c r="Q208">
        <v>0</v>
      </c>
      <c r="R208">
        <v>98250</v>
      </c>
      <c r="S208">
        <v>55.116680000000002</v>
      </c>
      <c r="T208">
        <v>-3.4117099999999998</v>
      </c>
      <c r="U208">
        <v>45</v>
      </c>
      <c r="V208">
        <v>0.9</v>
      </c>
      <c r="W208">
        <f t="shared" si="3"/>
        <v>98250</v>
      </c>
    </row>
    <row r="209" spans="1:23" x14ac:dyDescent="0.35">
      <c r="A209" t="s">
        <v>64</v>
      </c>
      <c r="B209" t="s">
        <v>259</v>
      </c>
      <c r="C209" t="s">
        <v>827</v>
      </c>
      <c r="D209" t="s">
        <v>828</v>
      </c>
      <c r="E209" t="s">
        <v>829</v>
      </c>
      <c r="F209">
        <v>86.5</v>
      </c>
      <c r="G209">
        <v>0</v>
      </c>
      <c r="H209" t="s">
        <v>26</v>
      </c>
      <c r="I209" t="s">
        <v>27</v>
      </c>
      <c r="J209">
        <v>2010</v>
      </c>
      <c r="K209" t="s">
        <v>28</v>
      </c>
      <c r="L209" t="s">
        <v>830</v>
      </c>
      <c r="M209">
        <v>13140</v>
      </c>
      <c r="N209">
        <v>13140</v>
      </c>
      <c r="O209">
        <v>0</v>
      </c>
      <c r="P209">
        <v>0</v>
      </c>
      <c r="Q209">
        <v>0</v>
      </c>
      <c r="R209">
        <v>0</v>
      </c>
      <c r="S209">
        <v>53.081609999999998</v>
      </c>
      <c r="T209">
        <v>-2.9228499999999999</v>
      </c>
      <c r="U209">
        <v>45</v>
      </c>
      <c r="V209">
        <v>0.9</v>
      </c>
      <c r="W209">
        <f t="shared" si="3"/>
        <v>13140</v>
      </c>
    </row>
    <row r="210" spans="1:23" x14ac:dyDescent="0.35">
      <c r="A210" t="s">
        <v>484</v>
      </c>
      <c r="B210" t="s">
        <v>485</v>
      </c>
      <c r="C210" t="s">
        <v>831</v>
      </c>
      <c r="D210" t="s">
        <v>832</v>
      </c>
      <c r="E210" t="s">
        <v>833</v>
      </c>
      <c r="F210">
        <v>1900</v>
      </c>
      <c r="G210">
        <v>1100</v>
      </c>
      <c r="H210" t="s">
        <v>34</v>
      </c>
      <c r="I210" t="s">
        <v>27</v>
      </c>
      <c r="J210">
        <v>2017</v>
      </c>
      <c r="K210" t="s">
        <v>35</v>
      </c>
      <c r="L210" t="s">
        <v>85</v>
      </c>
      <c r="M210">
        <v>190000</v>
      </c>
      <c r="N210">
        <v>0</v>
      </c>
      <c r="O210">
        <v>0</v>
      </c>
      <c r="P210">
        <v>190000</v>
      </c>
      <c r="Q210">
        <v>0</v>
      </c>
      <c r="R210">
        <v>0</v>
      </c>
      <c r="S210">
        <v>51.517620000000001</v>
      </c>
      <c r="T210">
        <v>0.14393</v>
      </c>
      <c r="U210">
        <v>45</v>
      </c>
      <c r="V210">
        <v>0.9</v>
      </c>
      <c r="W210">
        <f t="shared" si="3"/>
        <v>190000</v>
      </c>
    </row>
    <row r="211" spans="1:23" x14ac:dyDescent="0.35">
      <c r="A211" t="s">
        <v>22</v>
      </c>
      <c r="B211" t="s">
        <v>172</v>
      </c>
      <c r="C211" t="s">
        <v>834</v>
      </c>
      <c r="D211" t="s">
        <v>835</v>
      </c>
      <c r="E211" t="s">
        <v>175</v>
      </c>
      <c r="F211">
        <v>1800</v>
      </c>
      <c r="G211">
        <v>0</v>
      </c>
      <c r="H211" t="s">
        <v>26</v>
      </c>
      <c r="I211" t="s">
        <v>27</v>
      </c>
      <c r="J211">
        <v>2013</v>
      </c>
      <c r="K211" t="s">
        <v>28</v>
      </c>
      <c r="L211" t="s">
        <v>307</v>
      </c>
      <c r="M211">
        <v>26000</v>
      </c>
      <c r="N211">
        <v>0</v>
      </c>
      <c r="O211">
        <v>26000</v>
      </c>
      <c r="P211">
        <v>0</v>
      </c>
      <c r="Q211">
        <v>0</v>
      </c>
      <c r="R211">
        <v>0</v>
      </c>
      <c r="S211">
        <v>52.092219999999998</v>
      </c>
      <c r="T211">
        <v>-2.29264</v>
      </c>
      <c r="U211">
        <v>45</v>
      </c>
      <c r="V211">
        <v>0.9</v>
      </c>
      <c r="W211">
        <f t="shared" si="3"/>
        <v>26000</v>
      </c>
    </row>
    <row r="212" spans="1:23" x14ac:dyDescent="0.35">
      <c r="A212" t="s">
        <v>70</v>
      </c>
      <c r="B212" t="s">
        <v>93</v>
      </c>
      <c r="C212" t="s">
        <v>836</v>
      </c>
      <c r="D212" t="s">
        <v>837</v>
      </c>
      <c r="E212" t="s">
        <v>838</v>
      </c>
      <c r="F212">
        <v>6200</v>
      </c>
      <c r="G212">
        <v>0</v>
      </c>
      <c r="H212" t="s">
        <v>26</v>
      </c>
      <c r="I212" t="s">
        <v>27</v>
      </c>
      <c r="J212">
        <v>2016</v>
      </c>
      <c r="K212" t="s">
        <v>35</v>
      </c>
      <c r="L212" t="s">
        <v>333</v>
      </c>
      <c r="M212">
        <v>120000</v>
      </c>
      <c r="N212">
        <v>0</v>
      </c>
      <c r="O212">
        <v>0</v>
      </c>
      <c r="P212">
        <v>72000</v>
      </c>
      <c r="Q212">
        <v>0</v>
      </c>
      <c r="R212">
        <v>48000</v>
      </c>
      <c r="S212">
        <v>53.265039999999999</v>
      </c>
      <c r="T212">
        <v>-2.4775999</v>
      </c>
      <c r="U212">
        <v>45</v>
      </c>
      <c r="V212">
        <v>0.9</v>
      </c>
      <c r="W212">
        <f t="shared" si="3"/>
        <v>120000</v>
      </c>
    </row>
    <row r="213" spans="1:23" x14ac:dyDescent="0.35">
      <c r="A213" t="s">
        <v>48</v>
      </c>
      <c r="B213" t="s">
        <v>351</v>
      </c>
      <c r="C213" t="s">
        <v>839</v>
      </c>
      <c r="D213" t="s">
        <v>840</v>
      </c>
      <c r="E213" t="s">
        <v>841</v>
      </c>
      <c r="F213">
        <v>495</v>
      </c>
      <c r="G213">
        <v>0</v>
      </c>
      <c r="H213" t="s">
        <v>26</v>
      </c>
      <c r="I213" t="s">
        <v>27</v>
      </c>
      <c r="J213">
        <v>2015</v>
      </c>
      <c r="K213" t="s">
        <v>28</v>
      </c>
      <c r="L213" t="s">
        <v>842</v>
      </c>
      <c r="M213">
        <v>15000</v>
      </c>
      <c r="N213">
        <v>6000</v>
      </c>
      <c r="O213">
        <v>9000</v>
      </c>
      <c r="P213">
        <v>0</v>
      </c>
      <c r="Q213">
        <v>0</v>
      </c>
      <c r="R213">
        <v>0</v>
      </c>
      <c r="S213">
        <v>53.78481</v>
      </c>
      <c r="T213">
        <v>-1.2492099999999999</v>
      </c>
      <c r="U213">
        <v>45</v>
      </c>
      <c r="V213">
        <v>0.9</v>
      </c>
      <c r="W213">
        <f t="shared" si="3"/>
        <v>15000</v>
      </c>
    </row>
    <row r="214" spans="1:23" x14ac:dyDescent="0.35">
      <c r="A214" t="s">
        <v>163</v>
      </c>
      <c r="B214" t="s">
        <v>177</v>
      </c>
      <c r="C214" t="s">
        <v>843</v>
      </c>
      <c r="D214" t="s">
        <v>844</v>
      </c>
      <c r="E214" t="s">
        <v>845</v>
      </c>
      <c r="F214">
        <v>370</v>
      </c>
      <c r="G214">
        <v>0</v>
      </c>
      <c r="H214" t="s">
        <v>26</v>
      </c>
      <c r="I214" t="s">
        <v>27</v>
      </c>
      <c r="J214">
        <v>2008</v>
      </c>
      <c r="K214" t="s">
        <v>28</v>
      </c>
      <c r="L214" t="s">
        <v>846</v>
      </c>
      <c r="M214">
        <v>11700</v>
      </c>
      <c r="N214">
        <v>8200</v>
      </c>
      <c r="O214">
        <v>3500</v>
      </c>
      <c r="P214">
        <v>0</v>
      </c>
      <c r="Q214">
        <v>0</v>
      </c>
      <c r="R214">
        <v>0</v>
      </c>
      <c r="S214">
        <v>50.885910000000003</v>
      </c>
      <c r="T214">
        <v>-2.2990200000000001</v>
      </c>
      <c r="U214">
        <v>45</v>
      </c>
      <c r="V214">
        <v>0.9</v>
      </c>
      <c r="W214">
        <f t="shared" si="3"/>
        <v>11700</v>
      </c>
    </row>
    <row r="215" spans="1:23" x14ac:dyDescent="0.35">
      <c r="A215" t="s">
        <v>22</v>
      </c>
      <c r="B215" t="s">
        <v>242</v>
      </c>
      <c r="C215" t="s">
        <v>847</v>
      </c>
      <c r="D215" t="s">
        <v>848</v>
      </c>
      <c r="E215" t="s">
        <v>849</v>
      </c>
      <c r="F215">
        <v>500</v>
      </c>
      <c r="G215">
        <v>800</v>
      </c>
      <c r="H215" t="s">
        <v>34</v>
      </c>
      <c r="I215" t="s">
        <v>27</v>
      </c>
      <c r="J215">
        <v>2022</v>
      </c>
      <c r="K215" t="s">
        <v>28</v>
      </c>
      <c r="L215" t="s">
        <v>850</v>
      </c>
      <c r="M215">
        <v>36750</v>
      </c>
      <c r="N215">
        <v>24000</v>
      </c>
      <c r="O215">
        <v>12750</v>
      </c>
      <c r="P215">
        <v>0</v>
      </c>
      <c r="Q215">
        <v>0</v>
      </c>
      <c r="R215">
        <v>0</v>
      </c>
      <c r="S215">
        <v>52.739370000000001</v>
      </c>
      <c r="T215">
        <v>-2.1021999999999998</v>
      </c>
      <c r="U215">
        <v>45</v>
      </c>
      <c r="V215">
        <v>0.9</v>
      </c>
      <c r="W215">
        <f t="shared" si="3"/>
        <v>36750</v>
      </c>
    </row>
    <row r="216" spans="1:23" x14ac:dyDescent="0.35">
      <c r="A216" t="s">
        <v>22</v>
      </c>
      <c r="B216" t="s">
        <v>23</v>
      </c>
      <c r="C216" t="s">
        <v>851</v>
      </c>
      <c r="D216" t="s">
        <v>852</v>
      </c>
      <c r="E216" t="s">
        <v>853</v>
      </c>
      <c r="F216">
        <v>449</v>
      </c>
      <c r="G216">
        <v>0</v>
      </c>
      <c r="H216" t="s">
        <v>26</v>
      </c>
      <c r="I216" t="s">
        <v>27</v>
      </c>
      <c r="J216">
        <v>2014</v>
      </c>
      <c r="K216" t="s">
        <v>35</v>
      </c>
      <c r="L216" t="s">
        <v>854</v>
      </c>
      <c r="M216">
        <v>28900</v>
      </c>
      <c r="N216">
        <v>4000</v>
      </c>
      <c r="O216">
        <v>2000</v>
      </c>
      <c r="P216">
        <v>6900</v>
      </c>
      <c r="Q216">
        <v>2000</v>
      </c>
      <c r="R216">
        <v>14000</v>
      </c>
      <c r="S216">
        <v>52.705590000000001</v>
      </c>
      <c r="T216">
        <v>-2.90184</v>
      </c>
      <c r="U216">
        <v>45</v>
      </c>
      <c r="V216">
        <v>0.9</v>
      </c>
      <c r="W216">
        <f t="shared" si="3"/>
        <v>28900</v>
      </c>
    </row>
    <row r="217" spans="1:23" x14ac:dyDescent="0.35">
      <c r="A217" t="s">
        <v>64</v>
      </c>
      <c r="B217" t="s">
        <v>259</v>
      </c>
      <c r="C217" t="s">
        <v>827</v>
      </c>
      <c r="D217" t="s">
        <v>855</v>
      </c>
      <c r="E217" t="s">
        <v>856</v>
      </c>
      <c r="F217">
        <v>245</v>
      </c>
      <c r="G217">
        <v>0</v>
      </c>
      <c r="H217" t="s">
        <v>26</v>
      </c>
      <c r="I217" t="s">
        <v>27</v>
      </c>
      <c r="J217">
        <v>2016</v>
      </c>
      <c r="K217" t="s">
        <v>28</v>
      </c>
      <c r="L217" t="s">
        <v>857</v>
      </c>
      <c r="M217">
        <v>11494</v>
      </c>
      <c r="N217">
        <v>10844</v>
      </c>
      <c r="O217">
        <v>275</v>
      </c>
      <c r="P217">
        <v>0</v>
      </c>
      <c r="Q217">
        <v>0</v>
      </c>
      <c r="R217">
        <v>375</v>
      </c>
      <c r="S217">
        <v>53.091009999999997</v>
      </c>
      <c r="T217">
        <v>-2.92252</v>
      </c>
      <c r="U217">
        <v>45</v>
      </c>
      <c r="V217">
        <v>0.9</v>
      </c>
      <c r="W217">
        <f t="shared" si="3"/>
        <v>11494</v>
      </c>
    </row>
    <row r="218" spans="1:23" x14ac:dyDescent="0.35">
      <c r="A218" t="s">
        <v>58</v>
      </c>
      <c r="B218" t="s">
        <v>536</v>
      </c>
      <c r="C218" t="s">
        <v>524</v>
      </c>
      <c r="D218" t="s">
        <v>858</v>
      </c>
      <c r="E218" t="s">
        <v>859</v>
      </c>
      <c r="F218">
        <v>250</v>
      </c>
      <c r="G218">
        <v>559.35</v>
      </c>
      <c r="H218" t="s">
        <v>34</v>
      </c>
      <c r="I218" t="s">
        <v>27</v>
      </c>
      <c r="J218">
        <v>2016</v>
      </c>
      <c r="K218" t="s">
        <v>28</v>
      </c>
      <c r="L218" t="s">
        <v>860</v>
      </c>
      <c r="M218">
        <v>25000</v>
      </c>
      <c r="N218">
        <v>0</v>
      </c>
      <c r="O218">
        <v>25000</v>
      </c>
      <c r="P218">
        <v>0</v>
      </c>
      <c r="Q218">
        <v>0</v>
      </c>
      <c r="R218">
        <v>0</v>
      </c>
      <c r="S218">
        <v>52.111407</v>
      </c>
      <c r="T218">
        <v>-0.92985070000000003</v>
      </c>
      <c r="U218">
        <v>45</v>
      </c>
      <c r="V218">
        <v>0.9</v>
      </c>
      <c r="W218">
        <f t="shared" si="3"/>
        <v>25000</v>
      </c>
    </row>
    <row r="219" spans="1:23" x14ac:dyDescent="0.35">
      <c r="A219" t="s">
        <v>48</v>
      </c>
      <c r="B219" t="s">
        <v>49</v>
      </c>
      <c r="C219" t="s">
        <v>343</v>
      </c>
      <c r="D219" t="s">
        <v>861</v>
      </c>
      <c r="E219" t="s">
        <v>862</v>
      </c>
      <c r="F219">
        <v>475</v>
      </c>
      <c r="G219">
        <v>0</v>
      </c>
      <c r="H219" t="s">
        <v>26</v>
      </c>
      <c r="I219" t="s">
        <v>27</v>
      </c>
      <c r="J219">
        <v>2014</v>
      </c>
      <c r="K219" t="s">
        <v>28</v>
      </c>
      <c r="L219" t="s">
        <v>863</v>
      </c>
      <c r="M219">
        <v>10675</v>
      </c>
      <c r="N219">
        <v>5675</v>
      </c>
      <c r="O219">
        <v>5000</v>
      </c>
      <c r="P219">
        <v>0</v>
      </c>
      <c r="Q219">
        <v>0</v>
      </c>
      <c r="R219">
        <v>0</v>
      </c>
      <c r="S219">
        <v>53.721060000000001</v>
      </c>
      <c r="T219">
        <v>-1.1991799999999999</v>
      </c>
      <c r="U219">
        <v>45</v>
      </c>
      <c r="V219">
        <v>0.9</v>
      </c>
      <c r="W219">
        <f t="shared" si="3"/>
        <v>10675</v>
      </c>
    </row>
    <row r="220" spans="1:23" x14ac:dyDescent="0.35">
      <c r="A220" t="s">
        <v>58</v>
      </c>
      <c r="B220" t="s">
        <v>59</v>
      </c>
      <c r="C220" t="s">
        <v>277</v>
      </c>
      <c r="D220" t="s">
        <v>864</v>
      </c>
      <c r="E220" t="s">
        <v>865</v>
      </c>
      <c r="F220">
        <v>1427.3</v>
      </c>
      <c r="G220">
        <v>0</v>
      </c>
      <c r="H220" t="s">
        <v>26</v>
      </c>
      <c r="I220" t="s">
        <v>27</v>
      </c>
      <c r="J220">
        <v>2013</v>
      </c>
      <c r="K220" t="s">
        <v>28</v>
      </c>
      <c r="L220" t="s">
        <v>866</v>
      </c>
      <c r="M220">
        <v>36000</v>
      </c>
      <c r="N220">
        <v>0</v>
      </c>
      <c r="O220">
        <v>20000</v>
      </c>
      <c r="P220">
        <v>0</v>
      </c>
      <c r="Q220">
        <v>16000</v>
      </c>
      <c r="R220">
        <v>0</v>
      </c>
      <c r="S220">
        <v>52.835270000000001</v>
      </c>
      <c r="T220">
        <v>8.2790000000000002E-2</v>
      </c>
      <c r="U220">
        <v>45</v>
      </c>
      <c r="V220">
        <v>0.9</v>
      </c>
      <c r="W220">
        <f t="shared" si="3"/>
        <v>36000</v>
      </c>
    </row>
    <row r="221" spans="1:23" x14ac:dyDescent="0.35">
      <c r="A221" t="s">
        <v>58</v>
      </c>
      <c r="B221" t="s">
        <v>59</v>
      </c>
      <c r="C221" t="s">
        <v>867</v>
      </c>
      <c r="D221" t="s">
        <v>868</v>
      </c>
      <c r="E221" t="s">
        <v>869</v>
      </c>
      <c r="F221">
        <v>500</v>
      </c>
      <c r="G221">
        <v>0</v>
      </c>
      <c r="H221" t="s">
        <v>26</v>
      </c>
      <c r="I221" t="s">
        <v>27</v>
      </c>
      <c r="J221">
        <v>2017</v>
      </c>
      <c r="K221" t="s">
        <v>28</v>
      </c>
      <c r="L221" t="s">
        <v>29</v>
      </c>
      <c r="M221">
        <v>13000</v>
      </c>
      <c r="N221">
        <v>6500</v>
      </c>
      <c r="O221">
        <v>6500</v>
      </c>
      <c r="P221">
        <v>0</v>
      </c>
      <c r="Q221">
        <v>0</v>
      </c>
      <c r="R221">
        <v>0</v>
      </c>
      <c r="S221">
        <v>53.263719999999999</v>
      </c>
      <c r="T221">
        <v>-0.75146999999999997</v>
      </c>
      <c r="U221">
        <v>45</v>
      </c>
      <c r="V221">
        <v>0.9</v>
      </c>
      <c r="W221">
        <f t="shared" si="3"/>
        <v>13000</v>
      </c>
    </row>
    <row r="222" spans="1:23" x14ac:dyDescent="0.35">
      <c r="A222" t="s">
        <v>48</v>
      </c>
      <c r="B222" t="s">
        <v>234</v>
      </c>
      <c r="C222" t="s">
        <v>870</v>
      </c>
      <c r="D222" t="s">
        <v>870</v>
      </c>
      <c r="E222" t="s">
        <v>871</v>
      </c>
      <c r="F222">
        <v>850</v>
      </c>
      <c r="G222">
        <v>0</v>
      </c>
      <c r="H222" t="s">
        <v>26</v>
      </c>
      <c r="I222" t="s">
        <v>27</v>
      </c>
      <c r="J222">
        <v>2005</v>
      </c>
      <c r="K222" t="s">
        <v>35</v>
      </c>
      <c r="L222" t="s">
        <v>872</v>
      </c>
      <c r="M222">
        <v>20000</v>
      </c>
      <c r="N222">
        <v>0</v>
      </c>
      <c r="O222">
        <v>0</v>
      </c>
      <c r="P222">
        <v>20000</v>
      </c>
      <c r="Q222">
        <v>0</v>
      </c>
      <c r="R222">
        <v>0</v>
      </c>
      <c r="S222">
        <v>53.774880000000003</v>
      </c>
      <c r="T222">
        <v>-0.33943000000000001</v>
      </c>
      <c r="U222">
        <v>45</v>
      </c>
      <c r="V222">
        <v>0.9</v>
      </c>
      <c r="W222">
        <f t="shared" si="3"/>
        <v>20000</v>
      </c>
    </row>
    <row r="223" spans="1:23" x14ac:dyDescent="0.35">
      <c r="A223" t="s">
        <v>22</v>
      </c>
      <c r="B223" t="s">
        <v>23</v>
      </c>
      <c r="C223" t="s">
        <v>873</v>
      </c>
      <c r="D223" t="s">
        <v>874</v>
      </c>
      <c r="E223" t="s">
        <v>875</v>
      </c>
      <c r="F223">
        <v>80</v>
      </c>
      <c r="G223">
        <v>0</v>
      </c>
      <c r="H223" t="s">
        <v>26</v>
      </c>
      <c r="I223" t="s">
        <v>27</v>
      </c>
      <c r="J223">
        <v>2017</v>
      </c>
      <c r="K223" t="s">
        <v>28</v>
      </c>
      <c r="L223" t="s">
        <v>483</v>
      </c>
      <c r="M223">
        <v>13000</v>
      </c>
      <c r="N223">
        <v>13000</v>
      </c>
      <c r="O223">
        <v>0</v>
      </c>
      <c r="P223">
        <v>0</v>
      </c>
      <c r="Q223">
        <v>0</v>
      </c>
      <c r="R223">
        <v>0</v>
      </c>
      <c r="S223">
        <v>52.382899999999999</v>
      </c>
      <c r="T223">
        <v>-2.4621</v>
      </c>
      <c r="U223">
        <v>45</v>
      </c>
      <c r="V223">
        <v>0.9</v>
      </c>
      <c r="W223">
        <f t="shared" si="3"/>
        <v>13000</v>
      </c>
    </row>
    <row r="224" spans="1:23" x14ac:dyDescent="0.35">
      <c r="A224" t="s">
        <v>30</v>
      </c>
      <c r="B224" t="s">
        <v>43</v>
      </c>
      <c r="C224" t="s">
        <v>876</v>
      </c>
      <c r="D224" t="s">
        <v>877</v>
      </c>
      <c r="E224" t="s">
        <v>878</v>
      </c>
      <c r="F224">
        <v>3000</v>
      </c>
      <c r="G224">
        <v>0</v>
      </c>
      <c r="H224" t="s">
        <v>26</v>
      </c>
      <c r="I224" t="s">
        <v>27</v>
      </c>
      <c r="J224">
        <v>2013</v>
      </c>
      <c r="K224" t="s">
        <v>28</v>
      </c>
      <c r="L224" t="s">
        <v>879</v>
      </c>
      <c r="M224">
        <v>61000</v>
      </c>
      <c r="N224">
        <v>0</v>
      </c>
      <c r="O224">
        <v>40000</v>
      </c>
      <c r="P224">
        <v>0</v>
      </c>
      <c r="Q224">
        <v>21000</v>
      </c>
      <c r="R224">
        <v>0</v>
      </c>
      <c r="S224">
        <v>52.458914800000002</v>
      </c>
      <c r="T224">
        <v>0.35165459999999998</v>
      </c>
      <c r="U224">
        <v>45</v>
      </c>
      <c r="V224">
        <v>0.9</v>
      </c>
      <c r="W224">
        <f t="shared" si="3"/>
        <v>61000</v>
      </c>
    </row>
    <row r="225" spans="1:23" x14ac:dyDescent="0.35">
      <c r="A225" t="s">
        <v>30</v>
      </c>
      <c r="B225" t="s">
        <v>43</v>
      </c>
      <c r="C225" t="s">
        <v>880</v>
      </c>
      <c r="D225" t="s">
        <v>881</v>
      </c>
      <c r="E225" t="s">
        <v>882</v>
      </c>
      <c r="F225">
        <v>1063</v>
      </c>
      <c r="G225">
        <v>0</v>
      </c>
      <c r="H225" t="s">
        <v>26</v>
      </c>
      <c r="I225" t="s">
        <v>27</v>
      </c>
      <c r="J225">
        <v>2005</v>
      </c>
      <c r="K225" t="s">
        <v>35</v>
      </c>
      <c r="L225" t="s">
        <v>883</v>
      </c>
      <c r="M225">
        <v>95000</v>
      </c>
      <c r="N225">
        <v>0</v>
      </c>
      <c r="O225">
        <v>0</v>
      </c>
      <c r="P225">
        <v>0</v>
      </c>
      <c r="Q225">
        <v>0</v>
      </c>
      <c r="R225">
        <v>95000</v>
      </c>
      <c r="S225">
        <v>52.55903</v>
      </c>
      <c r="T225">
        <v>-0.17433000000000001</v>
      </c>
      <c r="U225">
        <v>45</v>
      </c>
      <c r="V225">
        <v>0.9</v>
      </c>
      <c r="W225">
        <f t="shared" si="3"/>
        <v>95000</v>
      </c>
    </row>
    <row r="226" spans="1:23" x14ac:dyDescent="0.35">
      <c r="A226" t="s">
        <v>163</v>
      </c>
      <c r="B226" t="s">
        <v>177</v>
      </c>
      <c r="C226" t="s">
        <v>884</v>
      </c>
      <c r="D226" t="s">
        <v>885</v>
      </c>
      <c r="E226" t="s">
        <v>886</v>
      </c>
      <c r="F226">
        <v>484</v>
      </c>
      <c r="G226">
        <v>0</v>
      </c>
      <c r="H226" t="s">
        <v>26</v>
      </c>
      <c r="I226" t="s">
        <v>27</v>
      </c>
      <c r="J226">
        <v>2010</v>
      </c>
      <c r="K226" t="s">
        <v>28</v>
      </c>
      <c r="L226" t="s">
        <v>887</v>
      </c>
      <c r="M226">
        <v>20300</v>
      </c>
      <c r="N226">
        <v>14800</v>
      </c>
      <c r="O226">
        <v>5500</v>
      </c>
      <c r="P226">
        <v>0</v>
      </c>
      <c r="Q226">
        <v>0</v>
      </c>
      <c r="R226">
        <v>0</v>
      </c>
      <c r="S226">
        <v>50.867989999999999</v>
      </c>
      <c r="T226">
        <v>-2.6070899999999999</v>
      </c>
      <c r="U226">
        <v>45</v>
      </c>
      <c r="V226">
        <v>0.9</v>
      </c>
      <c r="W226">
        <f t="shared" si="3"/>
        <v>20300</v>
      </c>
    </row>
    <row r="227" spans="1:23" x14ac:dyDescent="0.35">
      <c r="A227" t="s">
        <v>48</v>
      </c>
      <c r="B227" t="s">
        <v>234</v>
      </c>
      <c r="C227" t="s">
        <v>888</v>
      </c>
      <c r="D227" t="s">
        <v>889</v>
      </c>
      <c r="E227" t="s">
        <v>890</v>
      </c>
      <c r="F227">
        <v>464</v>
      </c>
      <c r="G227">
        <v>0</v>
      </c>
      <c r="H227" t="s">
        <v>26</v>
      </c>
      <c r="I227" t="s">
        <v>27</v>
      </c>
      <c r="J227">
        <v>2012</v>
      </c>
      <c r="K227" t="s">
        <v>28</v>
      </c>
      <c r="L227" t="s">
        <v>891</v>
      </c>
      <c r="M227">
        <v>14315</v>
      </c>
      <c r="N227">
        <v>2865</v>
      </c>
      <c r="O227">
        <v>11450</v>
      </c>
      <c r="P227">
        <v>0</v>
      </c>
      <c r="Q227">
        <v>0</v>
      </c>
      <c r="R227">
        <v>0</v>
      </c>
      <c r="S227">
        <v>53.874360000000003</v>
      </c>
      <c r="T227">
        <v>-0.83360000000000001</v>
      </c>
      <c r="U227">
        <v>45</v>
      </c>
      <c r="V227">
        <v>0.9</v>
      </c>
      <c r="W227">
        <f t="shared" si="3"/>
        <v>14315</v>
      </c>
    </row>
    <row r="228" spans="1:23" x14ac:dyDescent="0.35">
      <c r="A228" t="s">
        <v>163</v>
      </c>
      <c r="B228" t="s">
        <v>358</v>
      </c>
      <c r="C228" t="s">
        <v>892</v>
      </c>
      <c r="D228" t="s">
        <v>893</v>
      </c>
      <c r="E228" t="s">
        <v>894</v>
      </c>
      <c r="F228">
        <v>450</v>
      </c>
      <c r="G228">
        <v>0</v>
      </c>
      <c r="H228" t="s">
        <v>26</v>
      </c>
      <c r="I228" t="s">
        <v>27</v>
      </c>
      <c r="J228">
        <v>2014</v>
      </c>
      <c r="K228" t="s">
        <v>28</v>
      </c>
      <c r="L228" t="s">
        <v>895</v>
      </c>
      <c r="M228">
        <v>12000</v>
      </c>
      <c r="N228">
        <v>6000</v>
      </c>
      <c r="O228">
        <v>6000</v>
      </c>
      <c r="P228">
        <v>0</v>
      </c>
      <c r="Q228">
        <v>0</v>
      </c>
      <c r="R228">
        <v>0</v>
      </c>
      <c r="S228">
        <v>50.910440000000001</v>
      </c>
      <c r="T228">
        <v>-3.6704400000000001</v>
      </c>
      <c r="U228">
        <v>45</v>
      </c>
      <c r="V228">
        <v>0.9</v>
      </c>
      <c r="W228">
        <f t="shared" si="3"/>
        <v>12000</v>
      </c>
    </row>
    <row r="229" spans="1:23" x14ac:dyDescent="0.35">
      <c r="A229" t="s">
        <v>30</v>
      </c>
      <c r="B229" t="s">
        <v>288</v>
      </c>
      <c r="C229" t="s">
        <v>896</v>
      </c>
      <c r="D229" t="s">
        <v>897</v>
      </c>
      <c r="E229" t="s">
        <v>898</v>
      </c>
      <c r="F229">
        <v>644</v>
      </c>
      <c r="G229">
        <v>0</v>
      </c>
      <c r="H229" t="s">
        <v>26</v>
      </c>
      <c r="I229" t="s">
        <v>27</v>
      </c>
      <c r="J229">
        <v>2016</v>
      </c>
      <c r="K229" t="s">
        <v>28</v>
      </c>
      <c r="L229" t="s">
        <v>899</v>
      </c>
      <c r="M229">
        <v>29500</v>
      </c>
      <c r="N229">
        <v>0</v>
      </c>
      <c r="O229">
        <v>29500</v>
      </c>
      <c r="P229">
        <v>0</v>
      </c>
      <c r="Q229">
        <v>0</v>
      </c>
      <c r="R229">
        <v>0</v>
      </c>
      <c r="S229">
        <v>52.46067</v>
      </c>
      <c r="T229">
        <v>0.83174000000000003</v>
      </c>
      <c r="U229">
        <v>45</v>
      </c>
      <c r="V229">
        <v>0.9</v>
      </c>
      <c r="W229">
        <f t="shared" si="3"/>
        <v>29500</v>
      </c>
    </row>
    <row r="230" spans="1:23" x14ac:dyDescent="0.35">
      <c r="A230" t="s">
        <v>30</v>
      </c>
      <c r="B230" t="s">
        <v>288</v>
      </c>
      <c r="C230" t="s">
        <v>900</v>
      </c>
      <c r="D230" t="s">
        <v>901</v>
      </c>
      <c r="E230" t="s">
        <v>902</v>
      </c>
      <c r="F230">
        <v>500</v>
      </c>
      <c r="G230">
        <v>550</v>
      </c>
      <c r="H230" t="s">
        <v>34</v>
      </c>
      <c r="I230" t="s">
        <v>27</v>
      </c>
      <c r="J230">
        <v>2015</v>
      </c>
      <c r="K230" t="s">
        <v>28</v>
      </c>
      <c r="L230" t="s">
        <v>903</v>
      </c>
      <c r="M230">
        <v>49000</v>
      </c>
      <c r="N230">
        <v>39000</v>
      </c>
      <c r="O230">
        <v>10000</v>
      </c>
      <c r="P230">
        <v>0</v>
      </c>
      <c r="Q230">
        <v>0</v>
      </c>
      <c r="R230">
        <v>0</v>
      </c>
      <c r="S230">
        <v>52.512079999999997</v>
      </c>
      <c r="T230">
        <v>0.56113000000000002</v>
      </c>
      <c r="U230">
        <v>45</v>
      </c>
      <c r="V230">
        <v>0.9</v>
      </c>
      <c r="W230">
        <f t="shared" si="3"/>
        <v>49000</v>
      </c>
    </row>
    <row r="231" spans="1:23" x14ac:dyDescent="0.35">
      <c r="A231" t="s">
        <v>48</v>
      </c>
      <c r="B231" t="s">
        <v>234</v>
      </c>
      <c r="C231" t="s">
        <v>343</v>
      </c>
      <c r="D231" t="s">
        <v>904</v>
      </c>
      <c r="E231" t="s">
        <v>905</v>
      </c>
      <c r="F231">
        <v>499</v>
      </c>
      <c r="G231">
        <v>450</v>
      </c>
      <c r="H231" t="s">
        <v>34</v>
      </c>
      <c r="I231" t="s">
        <v>27</v>
      </c>
      <c r="J231">
        <v>2017</v>
      </c>
      <c r="K231" t="s">
        <v>28</v>
      </c>
      <c r="L231" t="s">
        <v>906</v>
      </c>
      <c r="M231">
        <v>47000</v>
      </c>
      <c r="N231">
        <v>13500</v>
      </c>
      <c r="O231">
        <v>21500</v>
      </c>
      <c r="P231">
        <v>0</v>
      </c>
      <c r="Q231">
        <v>12000</v>
      </c>
      <c r="R231">
        <v>0</v>
      </c>
      <c r="S231">
        <v>53.707819999999998</v>
      </c>
      <c r="T231">
        <v>-0.10439</v>
      </c>
      <c r="U231">
        <v>45</v>
      </c>
      <c r="V231">
        <v>0.9</v>
      </c>
      <c r="W231">
        <f t="shared" si="3"/>
        <v>47000</v>
      </c>
    </row>
    <row r="232" spans="1:23" x14ac:dyDescent="0.35">
      <c r="A232" t="s">
        <v>102</v>
      </c>
      <c r="B232" t="s">
        <v>907</v>
      </c>
      <c r="C232" t="s">
        <v>277</v>
      </c>
      <c r="D232" t="s">
        <v>908</v>
      </c>
      <c r="E232" t="s">
        <v>909</v>
      </c>
      <c r="F232">
        <v>1500</v>
      </c>
      <c r="G232" t="s">
        <v>46</v>
      </c>
      <c r="H232" t="s">
        <v>26</v>
      </c>
      <c r="I232" t="s">
        <v>27</v>
      </c>
      <c r="J232">
        <v>2018</v>
      </c>
      <c r="K232" t="s">
        <v>35</v>
      </c>
      <c r="L232" t="s">
        <v>85</v>
      </c>
      <c r="M232">
        <v>35000</v>
      </c>
      <c r="N232">
        <v>0</v>
      </c>
      <c r="O232">
        <v>0</v>
      </c>
      <c r="P232">
        <v>35000</v>
      </c>
      <c r="Q232">
        <v>0</v>
      </c>
      <c r="R232">
        <v>0</v>
      </c>
      <c r="S232">
        <v>55.928730000000002</v>
      </c>
      <c r="T232">
        <v>-3.0911200000000001</v>
      </c>
      <c r="U232">
        <v>45</v>
      </c>
      <c r="V232">
        <v>0.9</v>
      </c>
      <c r="W232">
        <f t="shared" si="3"/>
        <v>35000</v>
      </c>
    </row>
    <row r="233" spans="1:23" x14ac:dyDescent="0.35">
      <c r="A233" t="s">
        <v>22</v>
      </c>
      <c r="B233" t="s">
        <v>202</v>
      </c>
      <c r="C233" t="s">
        <v>910</v>
      </c>
      <c r="D233" t="s">
        <v>911</v>
      </c>
      <c r="E233" t="s">
        <v>912</v>
      </c>
      <c r="F233">
        <v>465</v>
      </c>
      <c r="G233">
        <v>0</v>
      </c>
      <c r="H233" t="s">
        <v>26</v>
      </c>
      <c r="I233" t="s">
        <v>27</v>
      </c>
      <c r="J233">
        <v>2014</v>
      </c>
      <c r="K233" t="s">
        <v>28</v>
      </c>
      <c r="L233" t="s">
        <v>913</v>
      </c>
      <c r="M233">
        <v>10975</v>
      </c>
      <c r="N233">
        <v>4000</v>
      </c>
      <c r="O233">
        <v>6975</v>
      </c>
      <c r="P233">
        <v>0</v>
      </c>
      <c r="Q233">
        <v>0</v>
      </c>
      <c r="R233">
        <v>0</v>
      </c>
      <c r="S233">
        <v>52.243000000000002</v>
      </c>
      <c r="T233">
        <v>-2.9008400000000001</v>
      </c>
      <c r="U233">
        <v>45</v>
      </c>
      <c r="V233">
        <v>0.9</v>
      </c>
      <c r="W233">
        <f t="shared" si="3"/>
        <v>10975</v>
      </c>
    </row>
    <row r="234" spans="1:23" x14ac:dyDescent="0.35">
      <c r="A234" t="s">
        <v>76</v>
      </c>
      <c r="B234" t="s">
        <v>77</v>
      </c>
      <c r="C234" t="s">
        <v>50</v>
      </c>
      <c r="D234" t="s">
        <v>914</v>
      </c>
      <c r="E234" t="s">
        <v>915</v>
      </c>
      <c r="F234">
        <v>1110</v>
      </c>
      <c r="G234">
        <v>0</v>
      </c>
      <c r="H234" t="s">
        <v>26</v>
      </c>
      <c r="I234" t="s">
        <v>27</v>
      </c>
      <c r="J234">
        <v>2016</v>
      </c>
      <c r="K234" t="s">
        <v>35</v>
      </c>
      <c r="L234" t="s">
        <v>333</v>
      </c>
      <c r="M234">
        <v>32000</v>
      </c>
      <c r="N234">
        <v>0</v>
      </c>
      <c r="O234">
        <v>0</v>
      </c>
      <c r="P234">
        <v>19200</v>
      </c>
      <c r="Q234">
        <v>0</v>
      </c>
      <c r="R234">
        <v>12800</v>
      </c>
      <c r="S234">
        <v>52.067160000000001</v>
      </c>
      <c r="T234">
        <v>-0.81486999999999998</v>
      </c>
      <c r="U234">
        <v>45</v>
      </c>
      <c r="V234">
        <v>0.9</v>
      </c>
      <c r="W234">
        <f t="shared" si="3"/>
        <v>32000</v>
      </c>
    </row>
    <row r="235" spans="1:23" x14ac:dyDescent="0.35">
      <c r="A235" t="s">
        <v>22</v>
      </c>
      <c r="B235" t="s">
        <v>202</v>
      </c>
      <c r="C235" t="s">
        <v>827</v>
      </c>
      <c r="D235" t="s">
        <v>916</v>
      </c>
      <c r="E235" t="s">
        <v>917</v>
      </c>
      <c r="F235">
        <v>700</v>
      </c>
      <c r="G235">
        <v>0</v>
      </c>
      <c r="H235" t="s">
        <v>26</v>
      </c>
      <c r="I235" t="s">
        <v>27</v>
      </c>
      <c r="J235">
        <v>2011</v>
      </c>
      <c r="K235" t="s">
        <v>28</v>
      </c>
      <c r="L235" t="s">
        <v>918</v>
      </c>
      <c r="M235">
        <v>12500</v>
      </c>
      <c r="N235">
        <v>5000</v>
      </c>
      <c r="O235">
        <v>7500</v>
      </c>
      <c r="P235">
        <v>0</v>
      </c>
      <c r="Q235">
        <v>0</v>
      </c>
      <c r="R235">
        <v>0</v>
      </c>
      <c r="S235">
        <v>51.964419900000003</v>
      </c>
      <c r="T235">
        <v>-2.5997400000000002</v>
      </c>
      <c r="U235">
        <v>45</v>
      </c>
      <c r="V235">
        <v>0.9</v>
      </c>
      <c r="W235">
        <f t="shared" si="3"/>
        <v>12500</v>
      </c>
    </row>
    <row r="236" spans="1:23" x14ac:dyDescent="0.35">
      <c r="A236" t="s">
        <v>30</v>
      </c>
      <c r="B236" t="s">
        <v>43</v>
      </c>
      <c r="C236" t="s">
        <v>516</v>
      </c>
      <c r="D236" t="s">
        <v>919</v>
      </c>
      <c r="E236" t="s">
        <v>920</v>
      </c>
      <c r="F236">
        <v>1500</v>
      </c>
      <c r="G236">
        <v>800</v>
      </c>
      <c r="H236" t="s">
        <v>34</v>
      </c>
      <c r="I236" t="s">
        <v>27</v>
      </c>
      <c r="J236">
        <v>2018</v>
      </c>
      <c r="K236" t="s">
        <v>28</v>
      </c>
      <c r="L236" t="s">
        <v>921</v>
      </c>
      <c r="M236">
        <v>90000</v>
      </c>
      <c r="N236">
        <v>40000</v>
      </c>
      <c r="O236">
        <v>10000</v>
      </c>
      <c r="P236">
        <v>0</v>
      </c>
      <c r="Q236">
        <v>20000</v>
      </c>
      <c r="R236">
        <v>20000</v>
      </c>
      <c r="S236">
        <v>52.625010000000003</v>
      </c>
      <c r="T236">
        <v>2.7560000000000001E-2</v>
      </c>
      <c r="U236">
        <v>45</v>
      </c>
      <c r="V236">
        <v>0.9</v>
      </c>
      <c r="W236">
        <f t="shared" si="3"/>
        <v>90000</v>
      </c>
    </row>
    <row r="237" spans="1:23" x14ac:dyDescent="0.35">
      <c r="A237" t="s">
        <v>48</v>
      </c>
      <c r="B237" t="s">
        <v>49</v>
      </c>
      <c r="C237" t="s">
        <v>343</v>
      </c>
      <c r="D237" t="s">
        <v>922</v>
      </c>
      <c r="E237" t="s">
        <v>923</v>
      </c>
      <c r="F237">
        <v>475</v>
      </c>
      <c r="G237">
        <v>0</v>
      </c>
      <c r="H237" t="s">
        <v>26</v>
      </c>
      <c r="I237" t="s">
        <v>27</v>
      </c>
      <c r="J237">
        <v>2016</v>
      </c>
      <c r="K237" t="s">
        <v>28</v>
      </c>
      <c r="L237" t="s">
        <v>924</v>
      </c>
      <c r="M237">
        <v>10572</v>
      </c>
      <c r="N237">
        <v>5000</v>
      </c>
      <c r="O237">
        <v>5572</v>
      </c>
      <c r="P237">
        <v>0</v>
      </c>
      <c r="Q237">
        <v>0</v>
      </c>
      <c r="R237">
        <v>0</v>
      </c>
      <c r="S237">
        <v>53.70364</v>
      </c>
      <c r="T237">
        <v>-1.1029</v>
      </c>
      <c r="U237">
        <v>45</v>
      </c>
      <c r="V237">
        <v>0.9</v>
      </c>
      <c r="W237">
        <f t="shared" si="3"/>
        <v>10572</v>
      </c>
    </row>
    <row r="238" spans="1:23" x14ac:dyDescent="0.35">
      <c r="A238" t="s">
        <v>37</v>
      </c>
      <c r="B238" t="s">
        <v>149</v>
      </c>
      <c r="C238" t="s">
        <v>925</v>
      </c>
      <c r="D238" t="s">
        <v>926</v>
      </c>
      <c r="E238" t="s">
        <v>927</v>
      </c>
      <c r="F238">
        <v>360</v>
      </c>
      <c r="G238">
        <v>0</v>
      </c>
      <c r="H238" t="s">
        <v>26</v>
      </c>
      <c r="I238" t="s">
        <v>27</v>
      </c>
      <c r="J238">
        <v>2016</v>
      </c>
      <c r="K238" t="s">
        <v>28</v>
      </c>
      <c r="L238" t="s">
        <v>731</v>
      </c>
      <c r="M238">
        <v>12775</v>
      </c>
      <c r="N238">
        <v>5475</v>
      </c>
      <c r="O238">
        <v>7300</v>
      </c>
      <c r="P238">
        <v>0</v>
      </c>
      <c r="Q238">
        <v>0</v>
      </c>
      <c r="R238">
        <v>0</v>
      </c>
      <c r="S238">
        <v>23.612539999999999</v>
      </c>
      <c r="T238">
        <v>115.62545</v>
      </c>
      <c r="U238">
        <v>45</v>
      </c>
      <c r="V238">
        <v>0.9</v>
      </c>
      <c r="W238">
        <f t="shared" si="3"/>
        <v>12775</v>
      </c>
    </row>
    <row r="239" spans="1:23" x14ac:dyDescent="0.35">
      <c r="A239" t="s">
        <v>58</v>
      </c>
      <c r="B239" t="s">
        <v>145</v>
      </c>
      <c r="C239" t="s">
        <v>928</v>
      </c>
      <c r="D239" t="s">
        <v>929</v>
      </c>
      <c r="E239" t="s">
        <v>930</v>
      </c>
      <c r="F239">
        <v>450</v>
      </c>
      <c r="G239">
        <v>0</v>
      </c>
      <c r="H239" t="s">
        <v>26</v>
      </c>
      <c r="I239" t="s">
        <v>27</v>
      </c>
      <c r="J239">
        <v>2014</v>
      </c>
      <c r="K239" t="s">
        <v>28</v>
      </c>
      <c r="L239" t="s">
        <v>931</v>
      </c>
      <c r="M239">
        <v>14000</v>
      </c>
      <c r="N239">
        <v>10000</v>
      </c>
      <c r="O239">
        <v>4000</v>
      </c>
      <c r="P239">
        <v>0</v>
      </c>
      <c r="Q239">
        <v>0</v>
      </c>
      <c r="R239">
        <v>0</v>
      </c>
      <c r="S239">
        <v>52.543329999999997</v>
      </c>
      <c r="T239">
        <v>-0.79686999999999997</v>
      </c>
      <c r="U239">
        <v>45</v>
      </c>
      <c r="V239">
        <v>0.9</v>
      </c>
      <c r="W239">
        <f t="shared" si="3"/>
        <v>14000</v>
      </c>
    </row>
    <row r="240" spans="1:23" x14ac:dyDescent="0.35">
      <c r="A240" t="s">
        <v>22</v>
      </c>
      <c r="B240" t="s">
        <v>23</v>
      </c>
      <c r="C240" t="s">
        <v>932</v>
      </c>
      <c r="D240" t="s">
        <v>933</v>
      </c>
      <c r="E240" t="s">
        <v>934</v>
      </c>
      <c r="F240">
        <v>226</v>
      </c>
      <c r="G240">
        <v>0</v>
      </c>
      <c r="H240" t="s">
        <v>26</v>
      </c>
      <c r="I240" t="s">
        <v>27</v>
      </c>
      <c r="J240">
        <v>2014</v>
      </c>
      <c r="K240" t="s">
        <v>28</v>
      </c>
      <c r="L240" t="s">
        <v>935</v>
      </c>
      <c r="M240">
        <v>11800</v>
      </c>
      <c r="N240">
        <v>10000</v>
      </c>
      <c r="O240">
        <v>1800</v>
      </c>
      <c r="P240">
        <v>0</v>
      </c>
      <c r="Q240">
        <v>0</v>
      </c>
      <c r="R240">
        <v>0</v>
      </c>
      <c r="S240">
        <v>52.794359999999998</v>
      </c>
      <c r="T240">
        <v>-2.4124300000000001</v>
      </c>
      <c r="U240">
        <v>45</v>
      </c>
      <c r="V240">
        <v>0.9</v>
      </c>
      <c r="W240">
        <f t="shared" si="3"/>
        <v>11800</v>
      </c>
    </row>
    <row r="241" spans="1:23" x14ac:dyDescent="0.35">
      <c r="A241" t="s">
        <v>48</v>
      </c>
      <c r="B241" t="s">
        <v>49</v>
      </c>
      <c r="C241" t="s">
        <v>936</v>
      </c>
      <c r="D241" t="s">
        <v>937</v>
      </c>
      <c r="E241" t="s">
        <v>938</v>
      </c>
      <c r="F241">
        <v>6900</v>
      </c>
      <c r="G241">
        <v>0</v>
      </c>
      <c r="H241" t="s">
        <v>26</v>
      </c>
      <c r="I241" t="s">
        <v>27</v>
      </c>
      <c r="J241">
        <v>2016</v>
      </c>
      <c r="K241" t="s">
        <v>28</v>
      </c>
      <c r="L241" t="s">
        <v>939</v>
      </c>
      <c r="M241">
        <v>28000</v>
      </c>
      <c r="N241">
        <v>23000</v>
      </c>
      <c r="O241">
        <v>5000</v>
      </c>
      <c r="P241">
        <v>0</v>
      </c>
      <c r="Q241">
        <v>0</v>
      </c>
      <c r="R241">
        <v>0</v>
      </c>
      <c r="S241">
        <v>54.167409999999997</v>
      </c>
      <c r="T241">
        <v>-1.2467900000000001</v>
      </c>
      <c r="U241">
        <v>45</v>
      </c>
      <c r="V241">
        <v>0.9</v>
      </c>
      <c r="W241">
        <f t="shared" si="3"/>
        <v>28000</v>
      </c>
    </row>
    <row r="242" spans="1:23" x14ac:dyDescent="0.35">
      <c r="A242" t="s">
        <v>70</v>
      </c>
      <c r="B242" t="s">
        <v>363</v>
      </c>
      <c r="C242" t="s">
        <v>940</v>
      </c>
      <c r="D242" t="s">
        <v>941</v>
      </c>
      <c r="E242" t="s">
        <v>942</v>
      </c>
      <c r="F242">
        <v>1000</v>
      </c>
      <c r="G242">
        <v>0</v>
      </c>
      <c r="H242" t="s">
        <v>26</v>
      </c>
      <c r="I242" t="s">
        <v>27</v>
      </c>
      <c r="J242">
        <v>2014</v>
      </c>
      <c r="K242" t="s">
        <v>35</v>
      </c>
      <c r="L242" t="s">
        <v>85</v>
      </c>
      <c r="M242">
        <v>16500</v>
      </c>
      <c r="N242">
        <v>0</v>
      </c>
      <c r="O242">
        <v>0</v>
      </c>
      <c r="P242">
        <v>16500</v>
      </c>
      <c r="Q242">
        <v>0</v>
      </c>
      <c r="R242">
        <v>0</v>
      </c>
      <c r="S242">
        <v>53.471119999999999</v>
      </c>
      <c r="T242">
        <v>-2.17679</v>
      </c>
      <c r="U242">
        <v>45</v>
      </c>
      <c r="V242">
        <v>0.9</v>
      </c>
      <c r="W242">
        <f t="shared" si="3"/>
        <v>16500</v>
      </c>
    </row>
    <row r="243" spans="1:23" x14ac:dyDescent="0.35">
      <c r="A243" t="s">
        <v>58</v>
      </c>
      <c r="B243" t="s">
        <v>59</v>
      </c>
      <c r="C243" t="s">
        <v>304</v>
      </c>
      <c r="D243" t="s">
        <v>943</v>
      </c>
      <c r="E243" t="s">
        <v>944</v>
      </c>
      <c r="F243">
        <v>2000</v>
      </c>
      <c r="G243">
        <v>0</v>
      </c>
      <c r="H243" t="s">
        <v>26</v>
      </c>
      <c r="I243" t="s">
        <v>27</v>
      </c>
      <c r="J243">
        <v>2011</v>
      </c>
      <c r="K243" t="s">
        <v>28</v>
      </c>
      <c r="L243" t="s">
        <v>945</v>
      </c>
      <c r="M243">
        <v>28000</v>
      </c>
      <c r="N243">
        <v>0</v>
      </c>
      <c r="O243">
        <v>18000</v>
      </c>
      <c r="P243">
        <v>0</v>
      </c>
      <c r="Q243">
        <v>10000</v>
      </c>
      <c r="R243">
        <v>0</v>
      </c>
      <c r="S243">
        <v>53.16921</v>
      </c>
      <c r="T243">
        <v>-0.38440990000000003</v>
      </c>
      <c r="U243">
        <v>45</v>
      </c>
      <c r="V243">
        <v>0.9</v>
      </c>
      <c r="W243">
        <f t="shared" si="3"/>
        <v>28000</v>
      </c>
    </row>
    <row r="244" spans="1:23" x14ac:dyDescent="0.35">
      <c r="A244" t="s">
        <v>30</v>
      </c>
      <c r="B244" t="s">
        <v>272</v>
      </c>
      <c r="C244" t="s">
        <v>137</v>
      </c>
      <c r="D244" t="s">
        <v>946</v>
      </c>
      <c r="E244" t="s">
        <v>947</v>
      </c>
      <c r="F244">
        <v>3000</v>
      </c>
      <c r="G244">
        <v>0</v>
      </c>
      <c r="H244" t="s">
        <v>26</v>
      </c>
      <c r="I244" t="s">
        <v>27</v>
      </c>
      <c r="J244">
        <v>2016</v>
      </c>
      <c r="K244" t="s">
        <v>35</v>
      </c>
      <c r="L244" t="s">
        <v>85</v>
      </c>
      <c r="M244">
        <v>75000</v>
      </c>
      <c r="N244">
        <v>0</v>
      </c>
      <c r="O244">
        <v>0</v>
      </c>
      <c r="P244">
        <v>75000</v>
      </c>
      <c r="Q244">
        <v>0</v>
      </c>
      <c r="R244">
        <v>0</v>
      </c>
      <c r="S244">
        <v>51.727919999999997</v>
      </c>
      <c r="T244">
        <v>-0.27504000000000001</v>
      </c>
      <c r="U244">
        <v>45</v>
      </c>
      <c r="V244">
        <v>0.9</v>
      </c>
      <c r="W244">
        <f t="shared" si="3"/>
        <v>75000</v>
      </c>
    </row>
    <row r="245" spans="1:23" x14ac:dyDescent="0.35">
      <c r="A245" t="s">
        <v>48</v>
      </c>
      <c r="B245" t="s">
        <v>221</v>
      </c>
      <c r="C245" t="s">
        <v>948</v>
      </c>
      <c r="D245" t="s">
        <v>949</v>
      </c>
      <c r="E245" t="s">
        <v>950</v>
      </c>
      <c r="F245">
        <v>480</v>
      </c>
      <c r="G245">
        <v>275</v>
      </c>
      <c r="H245" t="s">
        <v>34</v>
      </c>
      <c r="I245" t="s">
        <v>27</v>
      </c>
      <c r="J245">
        <v>2014</v>
      </c>
      <c r="K245" t="s">
        <v>28</v>
      </c>
      <c r="L245" t="s">
        <v>951</v>
      </c>
      <c r="M245">
        <v>40000</v>
      </c>
      <c r="N245">
        <v>24000</v>
      </c>
      <c r="O245">
        <v>16000</v>
      </c>
      <c r="P245">
        <v>0</v>
      </c>
      <c r="Q245">
        <v>0</v>
      </c>
      <c r="R245">
        <v>0</v>
      </c>
      <c r="S245">
        <v>53.57817</v>
      </c>
      <c r="T245">
        <v>-0.80684</v>
      </c>
      <c r="U245">
        <v>45</v>
      </c>
      <c r="V245">
        <v>0.9</v>
      </c>
      <c r="W245">
        <f t="shared" si="3"/>
        <v>40000</v>
      </c>
    </row>
    <row r="246" spans="1:23" x14ac:dyDescent="0.35">
      <c r="A246" t="s">
        <v>70</v>
      </c>
      <c r="B246" t="s">
        <v>528</v>
      </c>
      <c r="C246" t="s">
        <v>952</v>
      </c>
      <c r="D246" t="s">
        <v>953</v>
      </c>
      <c r="E246" t="s">
        <v>954</v>
      </c>
      <c r="F246">
        <v>1900</v>
      </c>
      <c r="G246">
        <v>0</v>
      </c>
      <c r="H246" t="s">
        <v>26</v>
      </c>
      <c r="I246" t="s">
        <v>27</v>
      </c>
      <c r="J246">
        <v>2011</v>
      </c>
      <c r="K246" t="s">
        <v>35</v>
      </c>
      <c r="L246" t="s">
        <v>955</v>
      </c>
      <c r="M246">
        <v>40000</v>
      </c>
      <c r="N246">
        <v>0</v>
      </c>
      <c r="O246">
        <v>0</v>
      </c>
      <c r="P246">
        <v>30000</v>
      </c>
      <c r="Q246">
        <v>0</v>
      </c>
      <c r="R246">
        <v>10000</v>
      </c>
      <c r="S246">
        <v>53.883920000000003</v>
      </c>
      <c r="T246">
        <v>-3.0022199999999999</v>
      </c>
      <c r="U246">
        <v>45</v>
      </c>
      <c r="V246">
        <v>0.9</v>
      </c>
      <c r="W246">
        <f t="shared" si="3"/>
        <v>40000</v>
      </c>
    </row>
    <row r="247" spans="1:23" x14ac:dyDescent="0.35">
      <c r="A247" t="s">
        <v>48</v>
      </c>
      <c r="B247" t="s">
        <v>221</v>
      </c>
      <c r="C247" t="s">
        <v>787</v>
      </c>
      <c r="D247" t="s">
        <v>956</v>
      </c>
      <c r="E247" t="s">
        <v>957</v>
      </c>
      <c r="F247">
        <v>480</v>
      </c>
      <c r="G247">
        <v>0</v>
      </c>
      <c r="H247" t="s">
        <v>26</v>
      </c>
      <c r="I247" t="s">
        <v>27</v>
      </c>
      <c r="J247">
        <v>2015</v>
      </c>
      <c r="K247" t="s">
        <v>28</v>
      </c>
      <c r="L247" t="s">
        <v>958</v>
      </c>
      <c r="M247">
        <v>17412</v>
      </c>
      <c r="N247">
        <v>7712</v>
      </c>
      <c r="O247">
        <v>9700</v>
      </c>
      <c r="P247">
        <v>0</v>
      </c>
      <c r="Q247">
        <v>0</v>
      </c>
      <c r="R247">
        <v>0</v>
      </c>
      <c r="S247">
        <v>53.626350000000002</v>
      </c>
      <c r="T247">
        <v>-0.45040999999999998</v>
      </c>
      <c r="U247">
        <v>45</v>
      </c>
      <c r="V247">
        <v>0.9</v>
      </c>
      <c r="W247">
        <f t="shared" si="3"/>
        <v>17412</v>
      </c>
    </row>
    <row r="248" spans="1:23" x14ac:dyDescent="0.35">
      <c r="A248" t="s">
        <v>30</v>
      </c>
      <c r="B248" t="s">
        <v>288</v>
      </c>
      <c r="C248" t="s">
        <v>959</v>
      </c>
      <c r="D248" t="s">
        <v>960</v>
      </c>
      <c r="E248" t="s">
        <v>961</v>
      </c>
      <c r="F248">
        <v>2300</v>
      </c>
      <c r="G248">
        <v>0</v>
      </c>
      <c r="H248" t="s">
        <v>26</v>
      </c>
      <c r="I248" t="s">
        <v>27</v>
      </c>
      <c r="J248">
        <v>2013</v>
      </c>
      <c r="K248" t="s">
        <v>28</v>
      </c>
      <c r="L248" t="s">
        <v>176</v>
      </c>
      <c r="M248">
        <v>33000</v>
      </c>
      <c r="N248">
        <v>0</v>
      </c>
      <c r="O248">
        <v>33000</v>
      </c>
      <c r="P248">
        <v>0</v>
      </c>
      <c r="Q248">
        <v>0</v>
      </c>
      <c r="R248">
        <v>0</v>
      </c>
      <c r="S248">
        <v>52.764065199999997</v>
      </c>
      <c r="T248">
        <v>1.3555206</v>
      </c>
      <c r="U248">
        <v>45</v>
      </c>
      <c r="V248">
        <v>0.9</v>
      </c>
      <c r="W248">
        <f t="shared" si="3"/>
        <v>33000</v>
      </c>
    </row>
    <row r="249" spans="1:23" x14ac:dyDescent="0.35">
      <c r="A249" t="s">
        <v>58</v>
      </c>
      <c r="B249" t="s">
        <v>536</v>
      </c>
      <c r="C249" t="s">
        <v>962</v>
      </c>
      <c r="D249" t="s">
        <v>963</v>
      </c>
      <c r="E249" t="s">
        <v>964</v>
      </c>
      <c r="F249">
        <v>346.5</v>
      </c>
      <c r="G249">
        <v>0</v>
      </c>
      <c r="H249" t="s">
        <v>26</v>
      </c>
      <c r="I249" t="s">
        <v>27</v>
      </c>
      <c r="J249">
        <v>2010</v>
      </c>
      <c r="K249" t="s">
        <v>28</v>
      </c>
      <c r="L249" t="s">
        <v>965</v>
      </c>
      <c r="M249">
        <v>14600</v>
      </c>
      <c r="N249">
        <v>0</v>
      </c>
      <c r="O249">
        <v>0</v>
      </c>
      <c r="P249">
        <v>0</v>
      </c>
      <c r="Q249">
        <v>14600</v>
      </c>
      <c r="R249">
        <v>0</v>
      </c>
      <c r="S249">
        <v>52.506410000000002</v>
      </c>
      <c r="T249">
        <v>-0.6877799</v>
      </c>
      <c r="U249">
        <v>45</v>
      </c>
      <c r="V249">
        <v>0.9</v>
      </c>
      <c r="W249">
        <f t="shared" si="3"/>
        <v>14600</v>
      </c>
    </row>
    <row r="250" spans="1:23" x14ac:dyDescent="0.35">
      <c r="A250" t="s">
        <v>22</v>
      </c>
      <c r="B250" t="s">
        <v>202</v>
      </c>
      <c r="C250" t="s">
        <v>966</v>
      </c>
      <c r="D250" t="s">
        <v>967</v>
      </c>
      <c r="E250" t="s">
        <v>968</v>
      </c>
      <c r="F250">
        <v>499</v>
      </c>
      <c r="G250">
        <v>0</v>
      </c>
      <c r="H250" t="s">
        <v>26</v>
      </c>
      <c r="I250" t="s">
        <v>27</v>
      </c>
      <c r="J250">
        <v>2013</v>
      </c>
      <c r="K250" t="s">
        <v>28</v>
      </c>
      <c r="L250" t="s">
        <v>969</v>
      </c>
      <c r="M250">
        <v>33000</v>
      </c>
      <c r="N250">
        <v>9000</v>
      </c>
      <c r="O250">
        <v>24000</v>
      </c>
      <c r="P250">
        <v>0</v>
      </c>
      <c r="Q250">
        <v>0</v>
      </c>
      <c r="R250">
        <v>0</v>
      </c>
      <c r="S250">
        <v>52.234900000000003</v>
      </c>
      <c r="T250">
        <v>-2.8937900000000001</v>
      </c>
      <c r="U250">
        <v>45</v>
      </c>
      <c r="V250">
        <v>0.9</v>
      </c>
      <c r="W250">
        <f t="shared" si="3"/>
        <v>33000</v>
      </c>
    </row>
    <row r="251" spans="1:23" x14ac:dyDescent="0.35">
      <c r="A251" t="s">
        <v>64</v>
      </c>
      <c r="B251" t="s">
        <v>259</v>
      </c>
      <c r="C251" t="s">
        <v>970</v>
      </c>
      <c r="D251" t="s">
        <v>971</v>
      </c>
      <c r="E251" t="s">
        <v>972</v>
      </c>
      <c r="F251">
        <v>482.03</v>
      </c>
      <c r="G251">
        <v>0</v>
      </c>
      <c r="H251" t="s">
        <v>26</v>
      </c>
      <c r="I251" t="s">
        <v>27</v>
      </c>
      <c r="J251">
        <v>2012</v>
      </c>
      <c r="K251" t="s">
        <v>28</v>
      </c>
      <c r="L251" t="s">
        <v>973</v>
      </c>
      <c r="M251">
        <v>12000</v>
      </c>
      <c r="N251">
        <v>8000</v>
      </c>
      <c r="O251">
        <v>4000</v>
      </c>
      <c r="P251">
        <v>0</v>
      </c>
      <c r="Q251">
        <v>0</v>
      </c>
      <c r="R251">
        <v>0</v>
      </c>
      <c r="S251">
        <v>51.419804200000002</v>
      </c>
      <c r="T251">
        <v>-3.3721095000000001</v>
      </c>
      <c r="U251">
        <v>45</v>
      </c>
      <c r="V251">
        <v>0.9</v>
      </c>
      <c r="W251">
        <f t="shared" si="3"/>
        <v>12000</v>
      </c>
    </row>
    <row r="252" spans="1:23" x14ac:dyDescent="0.35">
      <c r="A252" t="s">
        <v>22</v>
      </c>
      <c r="B252" t="s">
        <v>23</v>
      </c>
      <c r="C252" t="s">
        <v>974</v>
      </c>
      <c r="D252" t="s">
        <v>975</v>
      </c>
      <c r="E252" t="s">
        <v>976</v>
      </c>
      <c r="F252">
        <v>475</v>
      </c>
      <c r="G252">
        <v>0</v>
      </c>
      <c r="H252" t="s">
        <v>26</v>
      </c>
      <c r="I252" t="s">
        <v>27</v>
      </c>
      <c r="J252">
        <v>2014</v>
      </c>
      <c r="K252" t="s">
        <v>28</v>
      </c>
      <c r="L252" t="s">
        <v>977</v>
      </c>
      <c r="M252">
        <v>14000</v>
      </c>
      <c r="N252">
        <v>0</v>
      </c>
      <c r="O252">
        <v>14000</v>
      </c>
      <c r="P252">
        <v>0</v>
      </c>
      <c r="Q252">
        <v>0</v>
      </c>
      <c r="R252">
        <v>0</v>
      </c>
      <c r="S252">
        <v>52.319870000000002</v>
      </c>
      <c r="T252">
        <v>-2.7161499999999998</v>
      </c>
      <c r="U252">
        <v>45</v>
      </c>
      <c r="V252">
        <v>0.9</v>
      </c>
      <c r="W252">
        <f t="shared" si="3"/>
        <v>14000</v>
      </c>
    </row>
    <row r="253" spans="1:23" x14ac:dyDescent="0.35">
      <c r="A253" t="s">
        <v>163</v>
      </c>
      <c r="B253" t="s">
        <v>177</v>
      </c>
      <c r="C253" t="s">
        <v>198</v>
      </c>
      <c r="D253" t="s">
        <v>978</v>
      </c>
      <c r="E253" t="s">
        <v>979</v>
      </c>
      <c r="F253">
        <v>500</v>
      </c>
      <c r="G253">
        <v>570.90000000000009</v>
      </c>
      <c r="H253" t="s">
        <v>34</v>
      </c>
      <c r="I253" t="s">
        <v>27</v>
      </c>
      <c r="J253">
        <v>2017</v>
      </c>
      <c r="K253" t="s">
        <v>35</v>
      </c>
      <c r="L253" t="s">
        <v>980</v>
      </c>
      <c r="M253">
        <v>45000</v>
      </c>
      <c r="N253">
        <v>0</v>
      </c>
      <c r="O253">
        <v>20000</v>
      </c>
      <c r="P253">
        <v>25000</v>
      </c>
      <c r="Q253">
        <v>0</v>
      </c>
      <c r="R253">
        <v>0</v>
      </c>
      <c r="S253">
        <v>50.790619900000003</v>
      </c>
      <c r="T253">
        <v>-1.85937</v>
      </c>
      <c r="U253">
        <v>45</v>
      </c>
      <c r="V253">
        <v>0.9</v>
      </c>
      <c r="W253">
        <f t="shared" si="3"/>
        <v>45000</v>
      </c>
    </row>
    <row r="254" spans="1:23" x14ac:dyDescent="0.35">
      <c r="A254" t="s">
        <v>58</v>
      </c>
      <c r="B254" t="s">
        <v>59</v>
      </c>
      <c r="C254" t="s">
        <v>981</v>
      </c>
      <c r="D254" t="s">
        <v>982</v>
      </c>
      <c r="E254" t="s">
        <v>983</v>
      </c>
      <c r="F254">
        <v>1415</v>
      </c>
      <c r="G254">
        <v>0</v>
      </c>
      <c r="H254" t="s">
        <v>26</v>
      </c>
      <c r="I254" t="s">
        <v>27</v>
      </c>
      <c r="J254">
        <v>2012</v>
      </c>
      <c r="K254" t="s">
        <v>35</v>
      </c>
      <c r="L254" t="s">
        <v>883</v>
      </c>
      <c r="M254">
        <v>70000</v>
      </c>
      <c r="N254">
        <v>0</v>
      </c>
      <c r="O254">
        <v>0</v>
      </c>
      <c r="P254">
        <v>0</v>
      </c>
      <c r="Q254">
        <v>0</v>
      </c>
      <c r="R254">
        <v>70000</v>
      </c>
      <c r="S254">
        <v>52.830649999999999</v>
      </c>
      <c r="T254">
        <v>-0.60692999999999997</v>
      </c>
      <c r="U254">
        <v>45</v>
      </c>
      <c r="V254">
        <v>0.9</v>
      </c>
      <c r="W254">
        <f t="shared" si="3"/>
        <v>70000</v>
      </c>
    </row>
    <row r="255" spans="1:23" x14ac:dyDescent="0.35">
      <c r="A255" t="s">
        <v>102</v>
      </c>
      <c r="B255" t="s">
        <v>154</v>
      </c>
      <c r="C255" t="s">
        <v>984</v>
      </c>
      <c r="D255" t="s">
        <v>985</v>
      </c>
      <c r="E255" t="s">
        <v>986</v>
      </c>
      <c r="F255">
        <v>250</v>
      </c>
      <c r="G255">
        <v>550</v>
      </c>
      <c r="H255" t="s">
        <v>34</v>
      </c>
      <c r="I255" t="s">
        <v>27</v>
      </c>
      <c r="J255">
        <v>2016</v>
      </c>
      <c r="K255" t="s">
        <v>28</v>
      </c>
      <c r="L255" t="s">
        <v>987</v>
      </c>
      <c r="M255">
        <v>30450</v>
      </c>
      <c r="N255">
        <v>3400</v>
      </c>
      <c r="O255">
        <v>22050</v>
      </c>
      <c r="P255">
        <v>0</v>
      </c>
      <c r="Q255">
        <v>3000</v>
      </c>
      <c r="R255">
        <v>2000</v>
      </c>
      <c r="S255">
        <v>56.415080000000003</v>
      </c>
      <c r="T255">
        <v>-2.9959899999999999</v>
      </c>
      <c r="U255">
        <v>45</v>
      </c>
      <c r="V255">
        <v>0.9</v>
      </c>
      <c r="W255">
        <f t="shared" si="3"/>
        <v>30450</v>
      </c>
    </row>
    <row r="256" spans="1:23" x14ac:dyDescent="0.35">
      <c r="A256" t="s">
        <v>58</v>
      </c>
      <c r="B256" t="s">
        <v>536</v>
      </c>
      <c r="C256" t="s">
        <v>988</v>
      </c>
      <c r="D256" t="s">
        <v>989</v>
      </c>
      <c r="E256" t="s">
        <v>990</v>
      </c>
      <c r="F256">
        <v>4000</v>
      </c>
      <c r="G256">
        <v>0</v>
      </c>
      <c r="H256" t="s">
        <v>26</v>
      </c>
      <c r="I256" t="s">
        <v>27</v>
      </c>
      <c r="J256">
        <v>2017</v>
      </c>
      <c r="K256" t="s">
        <v>35</v>
      </c>
      <c r="L256" t="s">
        <v>85</v>
      </c>
      <c r="M256">
        <v>40000</v>
      </c>
      <c r="N256">
        <v>0</v>
      </c>
      <c r="O256">
        <v>0</v>
      </c>
      <c r="P256">
        <v>40000</v>
      </c>
      <c r="Q256">
        <v>0</v>
      </c>
      <c r="R256">
        <v>0</v>
      </c>
      <c r="S256">
        <v>52.455629999999999</v>
      </c>
      <c r="T256">
        <v>-1.0275099999999999</v>
      </c>
      <c r="U256">
        <v>45</v>
      </c>
      <c r="V256">
        <v>0.9</v>
      </c>
      <c r="W256">
        <f t="shared" si="3"/>
        <v>40000</v>
      </c>
    </row>
    <row r="257" spans="1:23" x14ac:dyDescent="0.35">
      <c r="A257" t="s">
        <v>163</v>
      </c>
      <c r="B257" t="s">
        <v>556</v>
      </c>
      <c r="C257" t="s">
        <v>991</v>
      </c>
      <c r="D257" t="s">
        <v>992</v>
      </c>
      <c r="E257" t="s">
        <v>993</v>
      </c>
      <c r="F257">
        <v>948</v>
      </c>
      <c r="G257">
        <v>0</v>
      </c>
      <c r="H257" t="s">
        <v>26</v>
      </c>
      <c r="I257" t="s">
        <v>27</v>
      </c>
      <c r="J257">
        <v>2016</v>
      </c>
      <c r="K257" t="s">
        <v>28</v>
      </c>
      <c r="L257" t="s">
        <v>994</v>
      </c>
      <c r="M257">
        <v>21500</v>
      </c>
      <c r="N257">
        <v>4500</v>
      </c>
      <c r="O257">
        <v>17000</v>
      </c>
      <c r="P257">
        <v>0</v>
      </c>
      <c r="Q257">
        <v>0</v>
      </c>
      <c r="R257">
        <v>0</v>
      </c>
      <c r="S257">
        <v>50.124040000000001</v>
      </c>
      <c r="T257">
        <v>-5.3342400000000003</v>
      </c>
      <c r="U257">
        <v>45</v>
      </c>
      <c r="V257">
        <v>0.9</v>
      </c>
      <c r="W257">
        <f t="shared" si="3"/>
        <v>21500</v>
      </c>
    </row>
    <row r="258" spans="1:23" x14ac:dyDescent="0.35">
      <c r="A258" t="s">
        <v>22</v>
      </c>
      <c r="B258" t="s">
        <v>202</v>
      </c>
      <c r="C258" t="s">
        <v>995</v>
      </c>
      <c r="D258" t="s">
        <v>995</v>
      </c>
      <c r="E258" t="s">
        <v>996</v>
      </c>
      <c r="F258">
        <v>245</v>
      </c>
      <c r="G258">
        <v>0</v>
      </c>
      <c r="H258" t="s">
        <v>26</v>
      </c>
      <c r="I258" t="s">
        <v>27</v>
      </c>
      <c r="J258">
        <v>2014</v>
      </c>
      <c r="K258" t="s">
        <v>28</v>
      </c>
      <c r="L258" t="s">
        <v>381</v>
      </c>
      <c r="M258">
        <v>10800</v>
      </c>
      <c r="N258">
        <v>5750</v>
      </c>
      <c r="O258">
        <v>5050</v>
      </c>
      <c r="P258">
        <v>0</v>
      </c>
      <c r="Q258">
        <v>0</v>
      </c>
      <c r="R258">
        <v>0</v>
      </c>
      <c r="S258">
        <v>52.033070000000002</v>
      </c>
      <c r="T258">
        <v>-2.9621499999999998</v>
      </c>
      <c r="U258">
        <v>45</v>
      </c>
      <c r="V258">
        <v>0.9</v>
      </c>
      <c r="W258">
        <f t="shared" si="3"/>
        <v>10800</v>
      </c>
    </row>
    <row r="259" spans="1:23" x14ac:dyDescent="0.35">
      <c r="A259" t="s">
        <v>163</v>
      </c>
      <c r="B259" t="s">
        <v>556</v>
      </c>
      <c r="C259" t="s">
        <v>343</v>
      </c>
      <c r="D259" t="s">
        <v>997</v>
      </c>
      <c r="E259" t="s">
        <v>998</v>
      </c>
      <c r="F259">
        <v>500</v>
      </c>
      <c r="G259">
        <v>550</v>
      </c>
      <c r="H259" t="s">
        <v>34</v>
      </c>
      <c r="I259" t="s">
        <v>27</v>
      </c>
      <c r="J259">
        <v>2016</v>
      </c>
      <c r="K259" t="s">
        <v>28</v>
      </c>
      <c r="L259" t="s">
        <v>999</v>
      </c>
      <c r="M259">
        <v>30000</v>
      </c>
      <c r="N259">
        <v>5000</v>
      </c>
      <c r="O259">
        <v>25000</v>
      </c>
      <c r="P259">
        <v>0</v>
      </c>
      <c r="Q259">
        <v>0</v>
      </c>
      <c r="R259">
        <v>0</v>
      </c>
      <c r="S259">
        <v>50.304962400000001</v>
      </c>
      <c r="T259">
        <v>-4.8744190999999999</v>
      </c>
      <c r="U259">
        <v>45</v>
      </c>
      <c r="V259">
        <v>0.9</v>
      </c>
      <c r="W259">
        <f t="shared" ref="W259:W322" si="4">M259</f>
        <v>30000</v>
      </c>
    </row>
    <row r="260" spans="1:23" x14ac:dyDescent="0.35">
      <c r="A260" t="s">
        <v>58</v>
      </c>
      <c r="B260" t="s">
        <v>59</v>
      </c>
      <c r="C260" t="s">
        <v>1000</v>
      </c>
      <c r="D260" t="s">
        <v>1001</v>
      </c>
      <c r="E260" t="s">
        <v>1002</v>
      </c>
      <c r="F260">
        <v>480</v>
      </c>
      <c r="G260">
        <v>0</v>
      </c>
      <c r="H260" t="s">
        <v>26</v>
      </c>
      <c r="I260" t="s">
        <v>27</v>
      </c>
      <c r="J260">
        <v>2014</v>
      </c>
      <c r="K260" t="s">
        <v>28</v>
      </c>
      <c r="L260" t="s">
        <v>1003</v>
      </c>
      <c r="M260">
        <v>22000</v>
      </c>
      <c r="N260">
        <v>0</v>
      </c>
      <c r="O260">
        <v>22000</v>
      </c>
      <c r="P260">
        <v>0</v>
      </c>
      <c r="Q260">
        <v>0</v>
      </c>
      <c r="R260">
        <v>0</v>
      </c>
      <c r="S260">
        <v>53.566859999999998</v>
      </c>
      <c r="T260">
        <v>-0.33604000000000001</v>
      </c>
      <c r="U260">
        <v>45</v>
      </c>
      <c r="V260">
        <v>0.9</v>
      </c>
      <c r="W260">
        <f t="shared" si="4"/>
        <v>22000</v>
      </c>
    </row>
    <row r="261" spans="1:23" x14ac:dyDescent="0.35">
      <c r="A261" t="s">
        <v>30</v>
      </c>
      <c r="B261" t="s">
        <v>288</v>
      </c>
      <c r="C261" t="s">
        <v>1004</v>
      </c>
      <c r="D261" t="s">
        <v>1004</v>
      </c>
      <c r="E261" t="s">
        <v>1005</v>
      </c>
      <c r="F261">
        <v>1000</v>
      </c>
      <c r="G261">
        <v>0</v>
      </c>
      <c r="H261" t="s">
        <v>26</v>
      </c>
      <c r="I261" t="s">
        <v>27</v>
      </c>
      <c r="J261">
        <v>2016</v>
      </c>
      <c r="K261" t="s">
        <v>28</v>
      </c>
      <c r="L261" t="s">
        <v>1006</v>
      </c>
      <c r="M261">
        <v>20000</v>
      </c>
      <c r="N261">
        <v>0</v>
      </c>
      <c r="O261">
        <v>15000</v>
      </c>
      <c r="P261">
        <v>5000</v>
      </c>
      <c r="Q261">
        <v>0</v>
      </c>
      <c r="R261">
        <v>0</v>
      </c>
      <c r="S261">
        <v>52.73928406666667</v>
      </c>
      <c r="T261">
        <v>0.41892986666666671</v>
      </c>
      <c r="U261">
        <v>45</v>
      </c>
      <c r="V261">
        <v>0.9</v>
      </c>
      <c r="W261">
        <f t="shared" si="4"/>
        <v>20000</v>
      </c>
    </row>
    <row r="262" spans="1:23" x14ac:dyDescent="0.35">
      <c r="A262" t="s">
        <v>76</v>
      </c>
      <c r="B262" t="s">
        <v>182</v>
      </c>
      <c r="C262" t="s">
        <v>343</v>
      </c>
      <c r="D262" t="s">
        <v>1007</v>
      </c>
      <c r="E262" t="s">
        <v>1008</v>
      </c>
      <c r="F262">
        <v>475</v>
      </c>
      <c r="G262">
        <v>0</v>
      </c>
      <c r="H262" t="s">
        <v>26</v>
      </c>
      <c r="I262" t="s">
        <v>27</v>
      </c>
      <c r="J262">
        <v>2015</v>
      </c>
      <c r="K262" t="s">
        <v>28</v>
      </c>
      <c r="L262" t="s">
        <v>1009</v>
      </c>
      <c r="M262">
        <v>11420</v>
      </c>
      <c r="N262">
        <v>3420</v>
      </c>
      <c r="O262">
        <v>4500</v>
      </c>
      <c r="P262">
        <v>0</v>
      </c>
      <c r="Q262">
        <v>3500</v>
      </c>
      <c r="R262">
        <v>0</v>
      </c>
      <c r="S262">
        <v>51.02628</v>
      </c>
      <c r="T262">
        <v>0.51997000000000004</v>
      </c>
      <c r="U262">
        <v>45</v>
      </c>
      <c r="V262">
        <v>0.9</v>
      </c>
      <c r="W262">
        <f t="shared" si="4"/>
        <v>11420</v>
      </c>
    </row>
    <row r="263" spans="1:23" x14ac:dyDescent="0.35">
      <c r="A263" t="s">
        <v>48</v>
      </c>
      <c r="B263" t="s">
        <v>234</v>
      </c>
      <c r="C263" t="s">
        <v>1010</v>
      </c>
      <c r="D263" t="s">
        <v>1011</v>
      </c>
      <c r="E263" t="s">
        <v>1012</v>
      </c>
      <c r="F263">
        <v>2700</v>
      </c>
      <c r="G263">
        <v>540</v>
      </c>
      <c r="H263" t="s">
        <v>34</v>
      </c>
      <c r="I263" t="s">
        <v>27</v>
      </c>
      <c r="J263">
        <v>2020</v>
      </c>
      <c r="K263" t="s">
        <v>28</v>
      </c>
      <c r="L263" t="s">
        <v>1013</v>
      </c>
      <c r="M263">
        <v>72000</v>
      </c>
      <c r="N263">
        <v>0</v>
      </c>
      <c r="O263">
        <v>0</v>
      </c>
      <c r="P263">
        <v>0</v>
      </c>
      <c r="Q263">
        <v>71500</v>
      </c>
      <c r="R263">
        <v>500</v>
      </c>
      <c r="S263">
        <v>53.813839999999999</v>
      </c>
      <c r="T263">
        <v>-0.38530999999999999</v>
      </c>
      <c r="U263">
        <v>45</v>
      </c>
      <c r="V263">
        <v>0.9</v>
      </c>
      <c r="W263">
        <f t="shared" si="4"/>
        <v>72000</v>
      </c>
    </row>
    <row r="264" spans="1:23" x14ac:dyDescent="0.35">
      <c r="A264" t="s">
        <v>22</v>
      </c>
      <c r="B264" t="s">
        <v>242</v>
      </c>
      <c r="C264" t="s">
        <v>247</v>
      </c>
      <c r="D264" t="s">
        <v>1014</v>
      </c>
      <c r="E264" t="s">
        <v>1015</v>
      </c>
      <c r="F264">
        <v>6000</v>
      </c>
      <c r="G264">
        <v>0</v>
      </c>
      <c r="H264" t="s">
        <v>26</v>
      </c>
      <c r="I264" t="s">
        <v>27</v>
      </c>
      <c r="J264">
        <v>2011</v>
      </c>
      <c r="K264" t="s">
        <v>35</v>
      </c>
      <c r="L264" t="s">
        <v>85</v>
      </c>
      <c r="M264">
        <v>120000</v>
      </c>
      <c r="N264">
        <v>0</v>
      </c>
      <c r="O264">
        <v>0</v>
      </c>
      <c r="P264">
        <v>120000</v>
      </c>
      <c r="Q264">
        <v>0</v>
      </c>
      <c r="R264">
        <v>0</v>
      </c>
      <c r="S264">
        <v>52.685229999999997</v>
      </c>
      <c r="T264">
        <v>-2.0137900000000002</v>
      </c>
      <c r="U264">
        <v>45</v>
      </c>
      <c r="V264">
        <v>0.9</v>
      </c>
      <c r="W264">
        <f t="shared" si="4"/>
        <v>120000</v>
      </c>
    </row>
    <row r="265" spans="1:23" x14ac:dyDescent="0.35">
      <c r="A265" t="s">
        <v>102</v>
      </c>
      <c r="B265" t="s">
        <v>587</v>
      </c>
      <c r="C265" t="s">
        <v>580</v>
      </c>
      <c r="D265" t="s">
        <v>1016</v>
      </c>
      <c r="E265" t="s">
        <v>1017</v>
      </c>
      <c r="F265">
        <v>5000</v>
      </c>
      <c r="G265">
        <v>800</v>
      </c>
      <c r="H265" t="s">
        <v>34</v>
      </c>
      <c r="I265" t="s">
        <v>27</v>
      </c>
      <c r="J265">
        <v>2020</v>
      </c>
      <c r="K265" t="s">
        <v>35</v>
      </c>
      <c r="L265" t="s">
        <v>1018</v>
      </c>
      <c r="M265">
        <v>837500</v>
      </c>
      <c r="N265">
        <v>0</v>
      </c>
      <c r="O265">
        <v>0</v>
      </c>
      <c r="P265">
        <v>0</v>
      </c>
      <c r="Q265">
        <v>0</v>
      </c>
      <c r="R265">
        <v>837500</v>
      </c>
      <c r="S265">
        <v>57.659260000000003</v>
      </c>
      <c r="T265">
        <v>-3.0307900000000001</v>
      </c>
      <c r="U265">
        <v>45</v>
      </c>
      <c r="V265">
        <v>0.9</v>
      </c>
      <c r="W265">
        <f t="shared" si="4"/>
        <v>837500</v>
      </c>
    </row>
    <row r="266" spans="1:23" x14ac:dyDescent="0.35">
      <c r="A266" t="s">
        <v>102</v>
      </c>
      <c r="B266" t="s">
        <v>154</v>
      </c>
      <c r="C266" t="s">
        <v>1019</v>
      </c>
      <c r="D266" t="s">
        <v>1019</v>
      </c>
      <c r="E266" t="s">
        <v>1020</v>
      </c>
      <c r="F266">
        <v>500</v>
      </c>
      <c r="G266">
        <v>0</v>
      </c>
      <c r="H266" t="s">
        <v>26</v>
      </c>
      <c r="I266" t="s">
        <v>27</v>
      </c>
      <c r="J266">
        <v>2016</v>
      </c>
      <c r="K266" t="s">
        <v>35</v>
      </c>
      <c r="L266" t="s">
        <v>1021</v>
      </c>
      <c r="M266">
        <v>25000</v>
      </c>
      <c r="N266">
        <v>0</v>
      </c>
      <c r="O266">
        <v>0</v>
      </c>
      <c r="P266">
        <v>0</v>
      </c>
      <c r="Q266">
        <v>0</v>
      </c>
      <c r="R266">
        <v>25000</v>
      </c>
      <c r="S266">
        <v>55.956449999999997</v>
      </c>
      <c r="T266">
        <v>-2.7714500000000002</v>
      </c>
      <c r="U266">
        <v>45</v>
      </c>
      <c r="V266">
        <v>0.9</v>
      </c>
      <c r="W266">
        <f t="shared" si="4"/>
        <v>25000</v>
      </c>
    </row>
    <row r="267" spans="1:23" x14ac:dyDescent="0.35">
      <c r="A267" t="s">
        <v>48</v>
      </c>
      <c r="B267" t="s">
        <v>234</v>
      </c>
      <c r="C267" t="s">
        <v>666</v>
      </c>
      <c r="D267" t="s">
        <v>1022</v>
      </c>
      <c r="E267" t="s">
        <v>1023</v>
      </c>
      <c r="F267">
        <v>5000</v>
      </c>
      <c r="G267">
        <v>950</v>
      </c>
      <c r="H267" t="s">
        <v>373</v>
      </c>
      <c r="I267" t="s">
        <v>27</v>
      </c>
      <c r="J267">
        <v>2019</v>
      </c>
      <c r="K267" t="s">
        <v>35</v>
      </c>
      <c r="L267" t="s">
        <v>1024</v>
      </c>
      <c r="M267">
        <v>90000</v>
      </c>
      <c r="N267">
        <v>0</v>
      </c>
      <c r="O267">
        <v>0</v>
      </c>
      <c r="P267">
        <v>90000</v>
      </c>
      <c r="Q267">
        <v>0</v>
      </c>
      <c r="R267">
        <v>0</v>
      </c>
      <c r="S267">
        <v>53.77881</v>
      </c>
      <c r="T267">
        <v>-0.85753000000000001</v>
      </c>
      <c r="U267">
        <v>45</v>
      </c>
      <c r="V267">
        <v>0.9</v>
      </c>
      <c r="W267">
        <f t="shared" si="4"/>
        <v>90000</v>
      </c>
    </row>
    <row r="268" spans="1:23" x14ac:dyDescent="0.35">
      <c r="A268" t="s">
        <v>48</v>
      </c>
      <c r="B268" t="s">
        <v>351</v>
      </c>
      <c r="C268" t="s">
        <v>691</v>
      </c>
      <c r="D268" t="s">
        <v>1025</v>
      </c>
      <c r="E268" t="s">
        <v>693</v>
      </c>
      <c r="F268">
        <v>582</v>
      </c>
      <c r="H268" t="s">
        <v>26</v>
      </c>
      <c r="I268" t="s">
        <v>27</v>
      </c>
      <c r="J268">
        <v>2018</v>
      </c>
      <c r="K268" t="s">
        <v>35</v>
      </c>
      <c r="L268" t="s">
        <v>694</v>
      </c>
      <c r="M268">
        <v>20000</v>
      </c>
      <c r="N268">
        <v>20000</v>
      </c>
      <c r="O268">
        <v>0</v>
      </c>
      <c r="P268">
        <v>0</v>
      </c>
      <c r="Q268">
        <v>0</v>
      </c>
      <c r="R268">
        <v>0</v>
      </c>
      <c r="S268">
        <v>53.623638700000001</v>
      </c>
      <c r="T268">
        <v>-1.3620728</v>
      </c>
      <c r="U268">
        <v>45</v>
      </c>
      <c r="V268">
        <v>0.9</v>
      </c>
      <c r="W268">
        <f t="shared" si="4"/>
        <v>20000</v>
      </c>
    </row>
    <row r="269" spans="1:23" x14ac:dyDescent="0.35">
      <c r="A269" t="s">
        <v>163</v>
      </c>
      <c r="B269" t="s">
        <v>177</v>
      </c>
      <c r="C269" t="s">
        <v>382</v>
      </c>
      <c r="D269" t="s">
        <v>1026</v>
      </c>
      <c r="E269" t="s">
        <v>1027</v>
      </c>
      <c r="F269">
        <v>400</v>
      </c>
      <c r="G269">
        <v>650</v>
      </c>
      <c r="H269" t="s">
        <v>34</v>
      </c>
      <c r="I269" t="s">
        <v>27</v>
      </c>
      <c r="J269">
        <v>2012</v>
      </c>
      <c r="K269" t="s">
        <v>28</v>
      </c>
      <c r="L269" t="s">
        <v>1028</v>
      </c>
      <c r="M269">
        <v>41000</v>
      </c>
      <c r="N269">
        <v>0</v>
      </c>
      <c r="O269">
        <v>37000</v>
      </c>
      <c r="P269">
        <v>4000</v>
      </c>
      <c r="Q269">
        <v>0</v>
      </c>
      <c r="R269">
        <v>0</v>
      </c>
      <c r="S269">
        <v>50.694806700000001</v>
      </c>
      <c r="T269">
        <v>-2.4701654</v>
      </c>
      <c r="U269">
        <v>45</v>
      </c>
      <c r="V269">
        <v>0.9</v>
      </c>
      <c r="W269">
        <f t="shared" si="4"/>
        <v>41000</v>
      </c>
    </row>
    <row r="270" spans="1:23" x14ac:dyDescent="0.35">
      <c r="A270" t="s">
        <v>76</v>
      </c>
      <c r="B270" t="s">
        <v>182</v>
      </c>
      <c r="C270" t="s">
        <v>1029</v>
      </c>
      <c r="D270" t="s">
        <v>1030</v>
      </c>
      <c r="E270" t="s">
        <v>1031</v>
      </c>
      <c r="F270">
        <v>1200</v>
      </c>
      <c r="G270">
        <v>0</v>
      </c>
      <c r="H270" t="s">
        <v>26</v>
      </c>
      <c r="I270" t="s">
        <v>27</v>
      </c>
      <c r="J270">
        <v>2021</v>
      </c>
      <c r="K270" t="s">
        <v>35</v>
      </c>
      <c r="L270" t="s">
        <v>333</v>
      </c>
      <c r="M270">
        <v>25000</v>
      </c>
      <c r="N270">
        <v>0</v>
      </c>
      <c r="O270">
        <v>0</v>
      </c>
      <c r="P270">
        <v>15000</v>
      </c>
      <c r="Q270">
        <v>0</v>
      </c>
      <c r="R270">
        <v>10000</v>
      </c>
      <c r="S270">
        <v>51.30301</v>
      </c>
      <c r="T270">
        <v>1.3462799999999999</v>
      </c>
      <c r="U270">
        <v>45</v>
      </c>
      <c r="V270">
        <v>0.9</v>
      </c>
      <c r="W270">
        <f t="shared" si="4"/>
        <v>25000</v>
      </c>
    </row>
    <row r="271" spans="1:23" x14ac:dyDescent="0.35">
      <c r="A271" t="s">
        <v>30</v>
      </c>
      <c r="B271" t="s">
        <v>272</v>
      </c>
      <c r="C271" t="s">
        <v>277</v>
      </c>
      <c r="D271" t="s">
        <v>1032</v>
      </c>
      <c r="E271" t="s">
        <v>1033</v>
      </c>
      <c r="F271">
        <v>3000</v>
      </c>
      <c r="G271">
        <v>0</v>
      </c>
      <c r="H271" t="s">
        <v>26</v>
      </c>
      <c r="I271" t="s">
        <v>27</v>
      </c>
      <c r="J271">
        <v>2015</v>
      </c>
      <c r="K271" t="s">
        <v>35</v>
      </c>
      <c r="L271" t="s">
        <v>53</v>
      </c>
      <c r="M271">
        <v>66000</v>
      </c>
      <c r="N271">
        <v>0</v>
      </c>
      <c r="O271">
        <v>0</v>
      </c>
      <c r="P271">
        <v>39000</v>
      </c>
      <c r="Q271">
        <v>0</v>
      </c>
      <c r="R271">
        <v>27000</v>
      </c>
      <c r="S271">
        <v>51.762097699999998</v>
      </c>
      <c r="T271">
        <v>7.1180499999999999E-3</v>
      </c>
      <c r="U271">
        <v>45</v>
      </c>
      <c r="V271">
        <v>0.9</v>
      </c>
      <c r="W271">
        <f t="shared" si="4"/>
        <v>66000</v>
      </c>
    </row>
    <row r="272" spans="1:23" x14ac:dyDescent="0.35">
      <c r="A272" t="s">
        <v>163</v>
      </c>
      <c r="B272" t="s">
        <v>358</v>
      </c>
      <c r="C272" t="s">
        <v>403</v>
      </c>
      <c r="D272" t="s">
        <v>1034</v>
      </c>
      <c r="E272" t="s">
        <v>1035</v>
      </c>
      <c r="F272">
        <v>1100</v>
      </c>
      <c r="G272">
        <v>0</v>
      </c>
      <c r="H272" t="s">
        <v>26</v>
      </c>
      <c r="I272" t="s">
        <v>27</v>
      </c>
      <c r="J272">
        <v>2015</v>
      </c>
      <c r="K272" t="s">
        <v>28</v>
      </c>
      <c r="L272" t="s">
        <v>29</v>
      </c>
      <c r="M272">
        <v>14000</v>
      </c>
      <c r="N272">
        <v>5000</v>
      </c>
      <c r="O272">
        <v>9000</v>
      </c>
      <c r="P272">
        <v>0</v>
      </c>
      <c r="Q272">
        <v>0</v>
      </c>
      <c r="R272">
        <v>0</v>
      </c>
      <c r="S272">
        <v>50.904800000000002</v>
      </c>
      <c r="T272">
        <v>-3.42435</v>
      </c>
      <c r="U272">
        <v>45</v>
      </c>
      <c r="V272">
        <v>0.9</v>
      </c>
      <c r="W272">
        <f t="shared" si="4"/>
        <v>14000</v>
      </c>
    </row>
    <row r="273" spans="1:23" x14ac:dyDescent="0.35">
      <c r="A273" t="s">
        <v>30</v>
      </c>
      <c r="B273" t="s">
        <v>288</v>
      </c>
      <c r="C273" t="s">
        <v>1036</v>
      </c>
      <c r="D273" t="s">
        <v>1036</v>
      </c>
      <c r="E273" t="s">
        <v>1037</v>
      </c>
      <c r="F273">
        <v>4571</v>
      </c>
      <c r="G273">
        <v>0</v>
      </c>
      <c r="H273" t="s">
        <v>26</v>
      </c>
      <c r="I273" t="s">
        <v>27</v>
      </c>
      <c r="J273">
        <v>2015</v>
      </c>
      <c r="K273" t="s">
        <v>28</v>
      </c>
      <c r="L273" t="s">
        <v>176</v>
      </c>
      <c r="M273">
        <v>75000</v>
      </c>
      <c r="N273">
        <v>0</v>
      </c>
      <c r="O273">
        <v>55000</v>
      </c>
      <c r="P273">
        <v>0</v>
      </c>
      <c r="Q273">
        <v>20000</v>
      </c>
      <c r="R273">
        <v>0</v>
      </c>
      <c r="S273">
        <v>52.661828700000001</v>
      </c>
      <c r="T273">
        <v>0.64565810000000001</v>
      </c>
      <c r="U273">
        <v>45</v>
      </c>
      <c r="V273">
        <v>0.9</v>
      </c>
      <c r="W273">
        <f t="shared" si="4"/>
        <v>75000</v>
      </c>
    </row>
    <row r="274" spans="1:23" x14ac:dyDescent="0.35">
      <c r="A274" t="s">
        <v>70</v>
      </c>
      <c r="B274" t="s">
        <v>93</v>
      </c>
      <c r="C274" t="s">
        <v>831</v>
      </c>
      <c r="D274" t="s">
        <v>1038</v>
      </c>
      <c r="E274" t="s">
        <v>1039</v>
      </c>
      <c r="F274">
        <v>500</v>
      </c>
      <c r="G274">
        <v>1100</v>
      </c>
      <c r="H274" t="s">
        <v>34</v>
      </c>
      <c r="I274" t="s">
        <v>27</v>
      </c>
      <c r="J274">
        <v>2014</v>
      </c>
      <c r="K274" t="s">
        <v>35</v>
      </c>
      <c r="L274" t="s">
        <v>85</v>
      </c>
      <c r="M274">
        <v>160000</v>
      </c>
      <c r="N274">
        <v>0</v>
      </c>
      <c r="O274">
        <v>0</v>
      </c>
      <c r="P274">
        <v>160000</v>
      </c>
      <c r="Q274">
        <v>0</v>
      </c>
      <c r="R274">
        <v>0</v>
      </c>
      <c r="S274">
        <v>53.352530000000002</v>
      </c>
      <c r="T274">
        <v>-2.74675</v>
      </c>
      <c r="U274">
        <v>45</v>
      </c>
      <c r="V274">
        <v>0.9</v>
      </c>
      <c r="W274">
        <f t="shared" si="4"/>
        <v>160000</v>
      </c>
    </row>
    <row r="275" spans="1:23" x14ac:dyDescent="0.35">
      <c r="A275" t="s">
        <v>30</v>
      </c>
      <c r="B275" t="s">
        <v>31</v>
      </c>
      <c r="C275" t="s">
        <v>1040</v>
      </c>
      <c r="D275" t="s">
        <v>1041</v>
      </c>
      <c r="E275" t="s">
        <v>1042</v>
      </c>
      <c r="F275">
        <v>0</v>
      </c>
      <c r="G275">
        <v>0</v>
      </c>
      <c r="H275" t="s">
        <v>373</v>
      </c>
      <c r="I275" t="s">
        <v>27</v>
      </c>
      <c r="J275">
        <v>2010</v>
      </c>
      <c r="K275" t="s">
        <v>35</v>
      </c>
      <c r="L275" t="s">
        <v>85</v>
      </c>
      <c r="M275">
        <v>12500</v>
      </c>
      <c r="N275">
        <v>0</v>
      </c>
      <c r="O275">
        <v>0</v>
      </c>
      <c r="P275">
        <v>12500</v>
      </c>
      <c r="Q275">
        <v>0</v>
      </c>
      <c r="R275">
        <v>0</v>
      </c>
      <c r="S275">
        <v>52.336412500000002</v>
      </c>
      <c r="T275">
        <v>1.6435353333333329</v>
      </c>
      <c r="U275">
        <v>45</v>
      </c>
      <c r="V275">
        <v>0.9</v>
      </c>
      <c r="W275">
        <f t="shared" si="4"/>
        <v>12500</v>
      </c>
    </row>
    <row r="276" spans="1:23" x14ac:dyDescent="0.35">
      <c r="A276" t="s">
        <v>48</v>
      </c>
      <c r="B276" t="s">
        <v>351</v>
      </c>
      <c r="C276" t="s">
        <v>1043</v>
      </c>
      <c r="D276" t="s">
        <v>1044</v>
      </c>
      <c r="E276" t="s">
        <v>1045</v>
      </c>
      <c r="F276">
        <v>360</v>
      </c>
      <c r="G276">
        <v>600</v>
      </c>
      <c r="H276" t="s">
        <v>34</v>
      </c>
      <c r="I276" t="s">
        <v>27</v>
      </c>
      <c r="J276">
        <v>2016</v>
      </c>
      <c r="K276" t="s">
        <v>28</v>
      </c>
      <c r="L276" t="s">
        <v>1046</v>
      </c>
      <c r="M276">
        <v>36000</v>
      </c>
      <c r="N276">
        <v>0</v>
      </c>
      <c r="O276">
        <v>36000</v>
      </c>
      <c r="P276">
        <v>0</v>
      </c>
      <c r="Q276">
        <v>0</v>
      </c>
      <c r="R276">
        <v>0</v>
      </c>
      <c r="S276">
        <v>53.805399999999999</v>
      </c>
      <c r="T276">
        <v>-1.3454200000000001</v>
      </c>
      <c r="U276">
        <v>45</v>
      </c>
      <c r="V276">
        <v>0.9</v>
      </c>
      <c r="W276">
        <f t="shared" si="4"/>
        <v>36000</v>
      </c>
    </row>
    <row r="277" spans="1:23" x14ac:dyDescent="0.35">
      <c r="A277" t="s">
        <v>76</v>
      </c>
      <c r="B277" t="s">
        <v>329</v>
      </c>
      <c r="C277" t="s">
        <v>1047</v>
      </c>
      <c r="D277" t="s">
        <v>1048</v>
      </c>
      <c r="E277" t="s">
        <v>1049</v>
      </c>
      <c r="F277">
        <v>488</v>
      </c>
      <c r="G277">
        <v>550</v>
      </c>
      <c r="H277" t="s">
        <v>34</v>
      </c>
      <c r="I277" t="s">
        <v>27</v>
      </c>
      <c r="J277">
        <v>2013</v>
      </c>
      <c r="K277" t="s">
        <v>35</v>
      </c>
      <c r="L277" t="s">
        <v>85</v>
      </c>
      <c r="M277">
        <v>100000</v>
      </c>
      <c r="N277">
        <v>0</v>
      </c>
      <c r="O277">
        <v>0</v>
      </c>
      <c r="P277">
        <v>100000</v>
      </c>
      <c r="Q277">
        <v>0</v>
      </c>
      <c r="R277">
        <v>0</v>
      </c>
      <c r="S277">
        <v>51.393120000000003</v>
      </c>
      <c r="T277">
        <v>-0.16446</v>
      </c>
      <c r="U277">
        <v>45</v>
      </c>
      <c r="V277">
        <v>0.9</v>
      </c>
      <c r="W277">
        <f t="shared" si="4"/>
        <v>100000</v>
      </c>
    </row>
    <row r="278" spans="1:23" x14ac:dyDescent="0.35">
      <c r="A278" t="s">
        <v>37</v>
      </c>
      <c r="B278" t="s">
        <v>132</v>
      </c>
      <c r="C278" t="s">
        <v>1050</v>
      </c>
      <c r="D278" t="s">
        <v>1051</v>
      </c>
      <c r="E278" t="s">
        <v>1052</v>
      </c>
      <c r="F278">
        <v>500</v>
      </c>
      <c r="G278">
        <v>0</v>
      </c>
      <c r="H278" t="s">
        <v>26</v>
      </c>
      <c r="I278" t="s">
        <v>27</v>
      </c>
      <c r="J278">
        <v>2015</v>
      </c>
      <c r="K278" t="s">
        <v>28</v>
      </c>
      <c r="L278" t="s">
        <v>254</v>
      </c>
      <c r="M278">
        <v>18000</v>
      </c>
      <c r="N278">
        <v>4000</v>
      </c>
      <c r="O278">
        <v>14000</v>
      </c>
      <c r="P278">
        <v>0</v>
      </c>
      <c r="Q278">
        <v>0</v>
      </c>
      <c r="R278">
        <v>0</v>
      </c>
      <c r="S278">
        <v>54.732008</v>
      </c>
      <c r="T278">
        <v>-7.4535203000000001</v>
      </c>
      <c r="U278">
        <v>45</v>
      </c>
      <c r="V278">
        <v>0.9</v>
      </c>
      <c r="W278">
        <f t="shared" si="4"/>
        <v>18000</v>
      </c>
    </row>
    <row r="279" spans="1:23" x14ac:dyDescent="0.35">
      <c r="A279" t="s">
        <v>64</v>
      </c>
      <c r="B279" t="s">
        <v>259</v>
      </c>
      <c r="C279" t="s">
        <v>1053</v>
      </c>
      <c r="D279" t="s">
        <v>1054</v>
      </c>
      <c r="E279" t="s">
        <v>1055</v>
      </c>
      <c r="F279">
        <v>484</v>
      </c>
      <c r="G279">
        <v>0</v>
      </c>
      <c r="H279" t="s">
        <v>26</v>
      </c>
      <c r="I279" t="s">
        <v>27</v>
      </c>
      <c r="J279">
        <v>2011</v>
      </c>
      <c r="K279" t="s">
        <v>35</v>
      </c>
      <c r="L279" t="s">
        <v>1056</v>
      </c>
      <c r="M279">
        <v>20800</v>
      </c>
      <c r="N279">
        <v>0</v>
      </c>
      <c r="O279">
        <v>0</v>
      </c>
      <c r="P279">
        <v>5850</v>
      </c>
      <c r="Q279">
        <v>5330</v>
      </c>
      <c r="R279">
        <v>9620</v>
      </c>
      <c r="S279">
        <v>51.598219999999998</v>
      </c>
      <c r="T279">
        <v>-3.0791599999999999</v>
      </c>
      <c r="U279">
        <v>45</v>
      </c>
      <c r="V279">
        <v>0.9</v>
      </c>
      <c r="W279">
        <f t="shared" si="4"/>
        <v>20800</v>
      </c>
    </row>
    <row r="280" spans="1:23" x14ac:dyDescent="0.35">
      <c r="A280" t="s">
        <v>163</v>
      </c>
      <c r="B280" t="s">
        <v>169</v>
      </c>
      <c r="C280" t="s">
        <v>1057</v>
      </c>
      <c r="D280" t="s">
        <v>1057</v>
      </c>
      <c r="E280" t="s">
        <v>1058</v>
      </c>
      <c r="F280">
        <v>485</v>
      </c>
      <c r="G280">
        <v>0</v>
      </c>
      <c r="H280" t="s">
        <v>26</v>
      </c>
      <c r="I280" t="s">
        <v>27</v>
      </c>
      <c r="J280">
        <v>2013</v>
      </c>
      <c r="K280" t="s">
        <v>35</v>
      </c>
      <c r="L280" t="s">
        <v>1059</v>
      </c>
      <c r="M280">
        <v>35000</v>
      </c>
      <c r="N280">
        <v>0</v>
      </c>
      <c r="O280">
        <v>7500</v>
      </c>
      <c r="P280">
        <v>20000</v>
      </c>
      <c r="Q280">
        <v>0</v>
      </c>
      <c r="R280">
        <v>7500</v>
      </c>
      <c r="S280">
        <v>51.997480000000003</v>
      </c>
      <c r="T280">
        <v>-2.4610599</v>
      </c>
      <c r="U280">
        <v>45</v>
      </c>
      <c r="V280">
        <v>0.9</v>
      </c>
      <c r="W280">
        <f t="shared" si="4"/>
        <v>35000</v>
      </c>
    </row>
    <row r="281" spans="1:23" x14ac:dyDescent="0.35">
      <c r="A281" t="s">
        <v>102</v>
      </c>
      <c r="B281" t="s">
        <v>587</v>
      </c>
      <c r="C281" t="s">
        <v>280</v>
      </c>
      <c r="D281" t="s">
        <v>1060</v>
      </c>
      <c r="E281" t="s">
        <v>1061</v>
      </c>
      <c r="F281">
        <v>500</v>
      </c>
      <c r="G281">
        <v>0</v>
      </c>
      <c r="H281" t="s">
        <v>26</v>
      </c>
      <c r="I281" t="s">
        <v>27</v>
      </c>
      <c r="J281">
        <v>2010</v>
      </c>
      <c r="K281" t="s">
        <v>35</v>
      </c>
      <c r="L281" t="s">
        <v>283</v>
      </c>
      <c r="M281">
        <v>47450</v>
      </c>
      <c r="N281">
        <v>0</v>
      </c>
      <c r="O281">
        <v>0</v>
      </c>
      <c r="P281">
        <v>0</v>
      </c>
      <c r="Q281">
        <v>0</v>
      </c>
      <c r="R281">
        <v>47450</v>
      </c>
      <c r="S281">
        <v>57.671230000000001</v>
      </c>
      <c r="T281">
        <v>-3.4720800000000001</v>
      </c>
      <c r="U281">
        <v>45</v>
      </c>
      <c r="V281">
        <v>0.9</v>
      </c>
      <c r="W281">
        <f t="shared" si="4"/>
        <v>47450</v>
      </c>
    </row>
    <row r="282" spans="1:23" x14ac:dyDescent="0.35">
      <c r="A282" t="s">
        <v>22</v>
      </c>
      <c r="B282" t="s">
        <v>172</v>
      </c>
      <c r="C282" t="s">
        <v>1062</v>
      </c>
      <c r="D282" t="s">
        <v>1063</v>
      </c>
      <c r="E282" t="s">
        <v>1064</v>
      </c>
      <c r="F282">
        <v>482</v>
      </c>
      <c r="G282">
        <v>990.00000000000011</v>
      </c>
      <c r="H282" t="s">
        <v>34</v>
      </c>
      <c r="I282" t="s">
        <v>27</v>
      </c>
      <c r="J282">
        <v>2014</v>
      </c>
      <c r="K282" t="s">
        <v>28</v>
      </c>
      <c r="L282" t="s">
        <v>1065</v>
      </c>
      <c r="M282">
        <v>17600</v>
      </c>
      <c r="N282">
        <v>4400</v>
      </c>
      <c r="O282">
        <v>13200</v>
      </c>
      <c r="P282">
        <v>0</v>
      </c>
      <c r="Q282">
        <v>0</v>
      </c>
      <c r="R282">
        <v>0</v>
      </c>
      <c r="S282">
        <v>52.14864</v>
      </c>
      <c r="T282">
        <v>-2.0523500000000001</v>
      </c>
      <c r="U282">
        <v>45</v>
      </c>
      <c r="V282">
        <v>0.9</v>
      </c>
      <c r="W282">
        <f t="shared" si="4"/>
        <v>17600</v>
      </c>
    </row>
    <row r="283" spans="1:23" x14ac:dyDescent="0.35">
      <c r="A283" t="s">
        <v>163</v>
      </c>
      <c r="B283" t="s">
        <v>293</v>
      </c>
      <c r="C283" t="s">
        <v>1066</v>
      </c>
      <c r="D283" t="s">
        <v>1067</v>
      </c>
      <c r="E283" t="s">
        <v>1068</v>
      </c>
      <c r="F283">
        <v>484</v>
      </c>
      <c r="G283">
        <v>0</v>
      </c>
      <c r="H283" t="s">
        <v>26</v>
      </c>
      <c r="I283" t="s">
        <v>27</v>
      </c>
      <c r="J283">
        <v>2015</v>
      </c>
      <c r="K283" t="s">
        <v>28</v>
      </c>
      <c r="L283" t="s">
        <v>1069</v>
      </c>
      <c r="M283">
        <v>35000</v>
      </c>
      <c r="N283">
        <v>33500</v>
      </c>
      <c r="O283">
        <v>0</v>
      </c>
      <c r="P283">
        <v>0</v>
      </c>
      <c r="Q283">
        <v>1500</v>
      </c>
      <c r="R283">
        <v>0</v>
      </c>
      <c r="S283">
        <v>50.901600000000002</v>
      </c>
      <c r="T283">
        <v>-2.7650700000000001</v>
      </c>
      <c r="U283">
        <v>45</v>
      </c>
      <c r="V283">
        <v>0.9</v>
      </c>
      <c r="W283">
        <f t="shared" si="4"/>
        <v>35000</v>
      </c>
    </row>
    <row r="284" spans="1:23" x14ac:dyDescent="0.35">
      <c r="A284" t="s">
        <v>48</v>
      </c>
      <c r="B284" t="s">
        <v>234</v>
      </c>
      <c r="C284" t="s">
        <v>1070</v>
      </c>
      <c r="D284" t="s">
        <v>1071</v>
      </c>
      <c r="E284" t="s">
        <v>1072</v>
      </c>
      <c r="F284">
        <v>3176</v>
      </c>
      <c r="G284">
        <v>850</v>
      </c>
      <c r="H284" t="s">
        <v>34</v>
      </c>
      <c r="I284" t="s">
        <v>27</v>
      </c>
      <c r="J284">
        <v>2011</v>
      </c>
      <c r="K284" t="s">
        <v>35</v>
      </c>
      <c r="L284" t="s">
        <v>85</v>
      </c>
      <c r="M284">
        <v>50000</v>
      </c>
      <c r="N284">
        <v>0</v>
      </c>
      <c r="O284">
        <v>0</v>
      </c>
      <c r="P284">
        <v>50000</v>
      </c>
      <c r="Q284">
        <v>0</v>
      </c>
      <c r="R284">
        <v>0</v>
      </c>
      <c r="S284">
        <v>53.993369999999999</v>
      </c>
      <c r="T284">
        <v>-0.49703000000000003</v>
      </c>
      <c r="U284">
        <v>45</v>
      </c>
      <c r="V284">
        <v>0.9</v>
      </c>
      <c r="W284">
        <f t="shared" si="4"/>
        <v>50000</v>
      </c>
    </row>
    <row r="285" spans="1:23" x14ac:dyDescent="0.35">
      <c r="A285" t="s">
        <v>102</v>
      </c>
      <c r="B285" t="s">
        <v>1073</v>
      </c>
      <c r="C285" t="s">
        <v>343</v>
      </c>
      <c r="D285" t="s">
        <v>1074</v>
      </c>
      <c r="E285" t="s">
        <v>1075</v>
      </c>
      <c r="F285">
        <v>250</v>
      </c>
      <c r="G285">
        <v>600</v>
      </c>
      <c r="H285" t="s">
        <v>34</v>
      </c>
      <c r="I285" t="s">
        <v>27</v>
      </c>
      <c r="J285">
        <v>2016</v>
      </c>
      <c r="K285" t="s">
        <v>28</v>
      </c>
      <c r="L285" t="s">
        <v>1076</v>
      </c>
      <c r="M285">
        <v>40000</v>
      </c>
      <c r="N285">
        <v>10000</v>
      </c>
      <c r="O285">
        <v>30000</v>
      </c>
      <c r="P285">
        <v>0</v>
      </c>
      <c r="Q285">
        <v>0</v>
      </c>
      <c r="R285">
        <v>0</v>
      </c>
      <c r="S285">
        <v>57.315190000000001</v>
      </c>
      <c r="T285">
        <v>-2.0446900000000001</v>
      </c>
      <c r="U285">
        <v>45</v>
      </c>
      <c r="V285">
        <v>0.9</v>
      </c>
      <c r="W285">
        <f t="shared" si="4"/>
        <v>40000</v>
      </c>
    </row>
    <row r="286" spans="1:23" x14ac:dyDescent="0.35">
      <c r="A286" t="s">
        <v>76</v>
      </c>
      <c r="B286" t="s">
        <v>225</v>
      </c>
      <c r="C286" t="s">
        <v>1077</v>
      </c>
      <c r="D286" t="s">
        <v>1078</v>
      </c>
      <c r="E286" t="s">
        <v>1079</v>
      </c>
      <c r="F286">
        <v>1100</v>
      </c>
      <c r="G286">
        <v>0</v>
      </c>
      <c r="H286" t="s">
        <v>26</v>
      </c>
      <c r="I286" t="s">
        <v>27</v>
      </c>
      <c r="J286">
        <v>2010</v>
      </c>
      <c r="K286" t="s">
        <v>28</v>
      </c>
      <c r="L286" t="s">
        <v>1080</v>
      </c>
      <c r="M286">
        <v>26000</v>
      </c>
      <c r="N286">
        <v>2000</v>
      </c>
      <c r="O286">
        <v>0</v>
      </c>
      <c r="P286">
        <v>0</v>
      </c>
      <c r="Q286">
        <v>24000</v>
      </c>
      <c r="R286">
        <v>0</v>
      </c>
      <c r="S286">
        <v>50.790399999999998</v>
      </c>
      <c r="T286">
        <v>-0.73580999999999996</v>
      </c>
      <c r="U286">
        <v>45</v>
      </c>
      <c r="V286">
        <v>0.9</v>
      </c>
      <c r="W286">
        <f t="shared" si="4"/>
        <v>26000</v>
      </c>
    </row>
    <row r="287" spans="1:23" x14ac:dyDescent="0.35">
      <c r="A287" t="s">
        <v>163</v>
      </c>
      <c r="B287" t="s">
        <v>556</v>
      </c>
      <c r="C287" t="s">
        <v>1081</v>
      </c>
      <c r="D287" t="s">
        <v>1082</v>
      </c>
      <c r="E287" t="s">
        <v>1083</v>
      </c>
      <c r="F287">
        <v>850</v>
      </c>
      <c r="G287">
        <v>0</v>
      </c>
      <c r="H287" t="s">
        <v>26</v>
      </c>
      <c r="I287" t="s">
        <v>27</v>
      </c>
      <c r="J287">
        <v>2012</v>
      </c>
      <c r="K287" t="s">
        <v>35</v>
      </c>
      <c r="L287" t="s">
        <v>283</v>
      </c>
      <c r="M287">
        <v>22000</v>
      </c>
      <c r="N287">
        <v>0</v>
      </c>
      <c r="O287">
        <v>0</v>
      </c>
      <c r="P287">
        <v>0</v>
      </c>
      <c r="Q287">
        <v>0</v>
      </c>
      <c r="R287">
        <v>22000</v>
      </c>
      <c r="S287">
        <v>50.551717179999997</v>
      </c>
      <c r="T287">
        <v>-4.8913817999999996</v>
      </c>
      <c r="U287">
        <v>45</v>
      </c>
      <c r="V287">
        <v>0.9</v>
      </c>
      <c r="W287">
        <f t="shared" si="4"/>
        <v>22000</v>
      </c>
    </row>
    <row r="288" spans="1:23" x14ac:dyDescent="0.35">
      <c r="A288" t="s">
        <v>48</v>
      </c>
      <c r="B288" t="s">
        <v>49</v>
      </c>
      <c r="C288" t="s">
        <v>1084</v>
      </c>
      <c r="D288" t="s">
        <v>1085</v>
      </c>
      <c r="E288" t="s">
        <v>1086</v>
      </c>
      <c r="F288">
        <v>250</v>
      </c>
      <c r="G288">
        <v>800</v>
      </c>
      <c r="H288" t="s">
        <v>34</v>
      </c>
      <c r="I288" t="s">
        <v>27</v>
      </c>
      <c r="J288">
        <v>2018</v>
      </c>
      <c r="K288" t="s">
        <v>35</v>
      </c>
      <c r="L288" t="s">
        <v>85</v>
      </c>
      <c r="M288">
        <v>65000</v>
      </c>
      <c r="N288">
        <v>0</v>
      </c>
      <c r="O288">
        <v>0</v>
      </c>
      <c r="P288">
        <v>65000</v>
      </c>
      <c r="Q288">
        <v>0</v>
      </c>
      <c r="R288">
        <v>0</v>
      </c>
      <c r="S288">
        <v>53.423760000000001</v>
      </c>
      <c r="T288">
        <v>-1.5165500000000001</v>
      </c>
      <c r="U288">
        <v>45</v>
      </c>
      <c r="V288">
        <v>0.9</v>
      </c>
      <c r="W288">
        <f t="shared" si="4"/>
        <v>65000</v>
      </c>
    </row>
    <row r="289" spans="1:23" x14ac:dyDescent="0.35">
      <c r="A289" t="s">
        <v>76</v>
      </c>
      <c r="B289" t="s">
        <v>182</v>
      </c>
      <c r="C289" t="s">
        <v>165</v>
      </c>
      <c r="D289" t="s">
        <v>1087</v>
      </c>
      <c r="E289" t="s">
        <v>1088</v>
      </c>
      <c r="F289">
        <v>500</v>
      </c>
      <c r="G289">
        <v>500</v>
      </c>
      <c r="H289" t="s">
        <v>34</v>
      </c>
      <c r="I289" t="s">
        <v>27</v>
      </c>
      <c r="J289">
        <v>2020</v>
      </c>
      <c r="K289" t="s">
        <v>28</v>
      </c>
      <c r="L289" t="s">
        <v>1089</v>
      </c>
      <c r="M289">
        <v>53500</v>
      </c>
      <c r="N289">
        <v>0</v>
      </c>
      <c r="O289">
        <v>12800</v>
      </c>
      <c r="P289">
        <v>0</v>
      </c>
      <c r="Q289">
        <v>13000</v>
      </c>
      <c r="R289">
        <v>0</v>
      </c>
      <c r="S289">
        <v>51.4024</v>
      </c>
      <c r="T289">
        <v>0.8238299</v>
      </c>
      <c r="U289">
        <v>45</v>
      </c>
      <c r="V289">
        <v>0.9</v>
      </c>
      <c r="W289">
        <f t="shared" si="4"/>
        <v>53500</v>
      </c>
    </row>
    <row r="290" spans="1:23" x14ac:dyDescent="0.35">
      <c r="A290" t="s">
        <v>48</v>
      </c>
      <c r="B290" t="s">
        <v>221</v>
      </c>
      <c r="C290" t="s">
        <v>1010</v>
      </c>
      <c r="D290" t="s">
        <v>787</v>
      </c>
      <c r="E290" t="s">
        <v>1090</v>
      </c>
      <c r="F290">
        <v>480</v>
      </c>
      <c r="G290">
        <v>0</v>
      </c>
      <c r="H290" t="s">
        <v>26</v>
      </c>
      <c r="I290" t="s">
        <v>27</v>
      </c>
      <c r="J290">
        <v>2014</v>
      </c>
      <c r="K290" t="s">
        <v>28</v>
      </c>
      <c r="L290" t="s">
        <v>1091</v>
      </c>
      <c r="M290">
        <v>30000</v>
      </c>
      <c r="N290">
        <v>10000</v>
      </c>
      <c r="O290">
        <v>20000</v>
      </c>
      <c r="P290">
        <v>0</v>
      </c>
      <c r="Q290">
        <v>0</v>
      </c>
      <c r="R290">
        <v>0</v>
      </c>
      <c r="S290">
        <v>53.586469999999998</v>
      </c>
      <c r="T290">
        <v>-0.36446000000000001</v>
      </c>
      <c r="U290">
        <v>45</v>
      </c>
      <c r="V290">
        <v>0.9</v>
      </c>
      <c r="W290">
        <f t="shared" si="4"/>
        <v>30000</v>
      </c>
    </row>
    <row r="291" spans="1:23" x14ac:dyDescent="0.35">
      <c r="A291" t="s">
        <v>102</v>
      </c>
      <c r="B291" t="s">
        <v>1092</v>
      </c>
      <c r="C291" t="s">
        <v>1093</v>
      </c>
      <c r="D291" t="s">
        <v>1094</v>
      </c>
      <c r="E291" t="s">
        <v>1095</v>
      </c>
      <c r="F291">
        <v>3000</v>
      </c>
      <c r="G291">
        <v>358</v>
      </c>
      <c r="H291" t="s">
        <v>34</v>
      </c>
      <c r="I291" t="s">
        <v>27</v>
      </c>
      <c r="J291">
        <v>2022</v>
      </c>
      <c r="K291" t="s">
        <v>35</v>
      </c>
      <c r="L291" t="s">
        <v>1096</v>
      </c>
      <c r="M291">
        <v>190000</v>
      </c>
      <c r="N291">
        <v>0</v>
      </c>
      <c r="O291">
        <v>0</v>
      </c>
      <c r="P291">
        <v>0</v>
      </c>
      <c r="Q291">
        <v>0</v>
      </c>
      <c r="R291">
        <v>190000</v>
      </c>
      <c r="S291">
        <v>57.370074899999999</v>
      </c>
      <c r="T291">
        <v>-2.0519264285714289</v>
      </c>
      <c r="U291">
        <v>45</v>
      </c>
      <c r="V291">
        <v>0.9</v>
      </c>
      <c r="W291">
        <f t="shared" si="4"/>
        <v>190000</v>
      </c>
    </row>
    <row r="292" spans="1:23" x14ac:dyDescent="0.35">
      <c r="A292" t="s">
        <v>48</v>
      </c>
      <c r="B292" t="s">
        <v>49</v>
      </c>
      <c r="C292" t="s">
        <v>343</v>
      </c>
      <c r="D292" t="s">
        <v>1097</v>
      </c>
      <c r="E292" t="s">
        <v>1098</v>
      </c>
      <c r="F292">
        <v>475</v>
      </c>
      <c r="G292">
        <v>0</v>
      </c>
      <c r="H292" t="s">
        <v>26</v>
      </c>
      <c r="I292" t="s">
        <v>27</v>
      </c>
      <c r="J292">
        <v>2014</v>
      </c>
      <c r="K292" t="s">
        <v>28</v>
      </c>
      <c r="L292" t="s">
        <v>1099</v>
      </c>
      <c r="M292">
        <v>12500</v>
      </c>
      <c r="N292">
        <v>6000</v>
      </c>
      <c r="O292">
        <v>6500</v>
      </c>
      <c r="P292">
        <v>0</v>
      </c>
      <c r="Q292">
        <v>0</v>
      </c>
      <c r="R292">
        <v>0</v>
      </c>
      <c r="S292">
        <v>53.720619999999997</v>
      </c>
      <c r="T292">
        <v>-1.22444</v>
      </c>
      <c r="U292">
        <v>45</v>
      </c>
      <c r="V292">
        <v>0.9</v>
      </c>
      <c r="W292">
        <f t="shared" si="4"/>
        <v>12500</v>
      </c>
    </row>
    <row r="293" spans="1:23" x14ac:dyDescent="0.35">
      <c r="A293" t="s">
        <v>163</v>
      </c>
      <c r="B293" t="s">
        <v>169</v>
      </c>
      <c r="C293" t="s">
        <v>1100</v>
      </c>
      <c r="D293" t="s">
        <v>1101</v>
      </c>
      <c r="E293" t="s">
        <v>1102</v>
      </c>
      <c r="F293">
        <v>300</v>
      </c>
      <c r="G293">
        <v>0</v>
      </c>
      <c r="H293" t="s">
        <v>26</v>
      </c>
      <c r="I293" t="s">
        <v>27</v>
      </c>
      <c r="J293">
        <v>2008</v>
      </c>
      <c r="K293" t="s">
        <v>28</v>
      </c>
      <c r="L293" t="s">
        <v>1103</v>
      </c>
      <c r="M293">
        <v>20000</v>
      </c>
      <c r="N293">
        <v>12000</v>
      </c>
      <c r="O293">
        <v>8000</v>
      </c>
      <c r="P293">
        <v>0</v>
      </c>
      <c r="Q293">
        <v>0</v>
      </c>
      <c r="R293">
        <v>0</v>
      </c>
      <c r="S293">
        <v>51.67559</v>
      </c>
      <c r="T293">
        <v>-2.0183499999999999</v>
      </c>
      <c r="U293">
        <v>45</v>
      </c>
      <c r="V293">
        <v>0.9</v>
      </c>
      <c r="W293">
        <f t="shared" si="4"/>
        <v>20000</v>
      </c>
    </row>
    <row r="294" spans="1:23" x14ac:dyDescent="0.35">
      <c r="A294" t="s">
        <v>22</v>
      </c>
      <c r="B294" t="s">
        <v>1104</v>
      </c>
      <c r="C294" t="s">
        <v>1105</v>
      </c>
      <c r="D294" t="s">
        <v>1106</v>
      </c>
      <c r="E294" t="s">
        <v>1107</v>
      </c>
      <c r="F294">
        <v>808</v>
      </c>
      <c r="G294">
        <v>0</v>
      </c>
      <c r="H294" t="s">
        <v>26</v>
      </c>
      <c r="I294" t="s">
        <v>27</v>
      </c>
      <c r="J294">
        <v>2012</v>
      </c>
      <c r="K294" t="s">
        <v>35</v>
      </c>
      <c r="L294" t="s">
        <v>766</v>
      </c>
      <c r="M294">
        <v>20000</v>
      </c>
      <c r="N294">
        <v>0</v>
      </c>
      <c r="O294">
        <v>0</v>
      </c>
      <c r="P294">
        <v>0</v>
      </c>
      <c r="Q294">
        <v>0</v>
      </c>
      <c r="R294">
        <v>20000</v>
      </c>
      <c r="S294">
        <v>52.496032166666673</v>
      </c>
      <c r="T294">
        <v>-1.8654448333333331</v>
      </c>
      <c r="U294">
        <v>45</v>
      </c>
      <c r="V294">
        <v>0.9</v>
      </c>
      <c r="W294">
        <f t="shared" si="4"/>
        <v>20000</v>
      </c>
    </row>
    <row r="295" spans="1:23" x14ac:dyDescent="0.35">
      <c r="A295" t="s">
        <v>76</v>
      </c>
      <c r="B295" t="s">
        <v>182</v>
      </c>
      <c r="C295" t="s">
        <v>1105</v>
      </c>
      <c r="D295" t="s">
        <v>1108</v>
      </c>
      <c r="E295" t="s">
        <v>1109</v>
      </c>
      <c r="F295">
        <v>1226</v>
      </c>
      <c r="G295">
        <v>0</v>
      </c>
      <c r="H295" t="s">
        <v>26</v>
      </c>
      <c r="I295" t="s">
        <v>27</v>
      </c>
      <c r="J295">
        <v>2015</v>
      </c>
      <c r="K295" t="s">
        <v>35</v>
      </c>
      <c r="L295" t="s">
        <v>766</v>
      </c>
      <c r="M295">
        <v>20000</v>
      </c>
      <c r="N295">
        <v>0</v>
      </c>
      <c r="O295">
        <v>0</v>
      </c>
      <c r="P295">
        <v>0</v>
      </c>
      <c r="Q295">
        <v>0</v>
      </c>
      <c r="R295">
        <v>20000</v>
      </c>
      <c r="S295">
        <v>51.328690000000002</v>
      </c>
      <c r="T295">
        <v>0.44971</v>
      </c>
      <c r="U295">
        <v>45</v>
      </c>
      <c r="V295">
        <v>0.9</v>
      </c>
      <c r="W295">
        <f t="shared" si="4"/>
        <v>20000</v>
      </c>
    </row>
    <row r="296" spans="1:23" x14ac:dyDescent="0.35">
      <c r="A296" t="s">
        <v>163</v>
      </c>
      <c r="B296" t="s">
        <v>293</v>
      </c>
      <c r="C296" t="s">
        <v>1110</v>
      </c>
      <c r="D296" t="s">
        <v>1111</v>
      </c>
      <c r="E296" t="s">
        <v>1112</v>
      </c>
      <c r="F296">
        <v>489</v>
      </c>
      <c r="G296">
        <v>0</v>
      </c>
      <c r="H296" t="s">
        <v>26</v>
      </c>
      <c r="I296" t="s">
        <v>27</v>
      </c>
      <c r="J296">
        <v>2013</v>
      </c>
      <c r="K296" t="s">
        <v>28</v>
      </c>
      <c r="L296" t="s">
        <v>1113</v>
      </c>
      <c r="M296">
        <v>13500</v>
      </c>
      <c r="N296">
        <v>9500</v>
      </c>
      <c r="O296">
        <v>4000</v>
      </c>
      <c r="P296">
        <v>0</v>
      </c>
      <c r="Q296">
        <v>0</v>
      </c>
      <c r="R296">
        <v>0</v>
      </c>
      <c r="S296">
        <v>50.877300900000002</v>
      </c>
      <c r="T296">
        <v>-2.9887997666666668</v>
      </c>
      <c r="U296">
        <v>45</v>
      </c>
      <c r="V296">
        <v>0.9</v>
      </c>
      <c r="W296">
        <f t="shared" si="4"/>
        <v>13500</v>
      </c>
    </row>
    <row r="297" spans="1:23" x14ac:dyDescent="0.35">
      <c r="A297" t="s">
        <v>48</v>
      </c>
      <c r="B297" t="s">
        <v>351</v>
      </c>
      <c r="C297" t="s">
        <v>187</v>
      </c>
      <c r="D297" t="s">
        <v>1114</v>
      </c>
      <c r="E297" t="s">
        <v>1115</v>
      </c>
      <c r="F297">
        <v>6000</v>
      </c>
      <c r="G297">
        <v>0</v>
      </c>
      <c r="H297" t="s">
        <v>26</v>
      </c>
      <c r="I297" t="s">
        <v>27</v>
      </c>
      <c r="J297">
        <v>2016</v>
      </c>
      <c r="K297" t="s">
        <v>35</v>
      </c>
      <c r="L297" t="s">
        <v>53</v>
      </c>
      <c r="M297">
        <v>65000</v>
      </c>
      <c r="N297">
        <v>0</v>
      </c>
      <c r="O297">
        <v>0</v>
      </c>
      <c r="P297">
        <v>39000</v>
      </c>
      <c r="Q297">
        <v>0</v>
      </c>
      <c r="R297">
        <v>26000</v>
      </c>
      <c r="S297">
        <v>53.60266</v>
      </c>
      <c r="T297">
        <v>-1.34067</v>
      </c>
      <c r="U297">
        <v>45</v>
      </c>
      <c r="V297">
        <v>0.9</v>
      </c>
      <c r="W297">
        <f t="shared" si="4"/>
        <v>65000</v>
      </c>
    </row>
    <row r="298" spans="1:23" x14ac:dyDescent="0.35">
      <c r="A298" t="s">
        <v>70</v>
      </c>
      <c r="B298" t="s">
        <v>363</v>
      </c>
      <c r="C298" t="s">
        <v>364</v>
      </c>
      <c r="D298" t="s">
        <v>1116</v>
      </c>
      <c r="E298" t="s">
        <v>1117</v>
      </c>
      <c r="F298">
        <v>2000</v>
      </c>
      <c r="G298">
        <v>0</v>
      </c>
      <c r="H298" t="s">
        <v>26</v>
      </c>
      <c r="I298" t="s">
        <v>27</v>
      </c>
      <c r="J298">
        <v>2012</v>
      </c>
      <c r="K298" t="s">
        <v>35</v>
      </c>
      <c r="L298" t="s">
        <v>53</v>
      </c>
      <c r="M298">
        <v>35000</v>
      </c>
      <c r="N298">
        <v>0</v>
      </c>
      <c r="O298">
        <v>0</v>
      </c>
      <c r="P298">
        <v>21000</v>
      </c>
      <c r="Q298">
        <v>0</v>
      </c>
      <c r="R298">
        <v>14000</v>
      </c>
      <c r="S298">
        <v>53.396829599999997</v>
      </c>
      <c r="T298">
        <v>-2.2471372999999999</v>
      </c>
      <c r="U298">
        <v>45</v>
      </c>
      <c r="V298">
        <v>0.9</v>
      </c>
      <c r="W298">
        <f t="shared" si="4"/>
        <v>35000</v>
      </c>
    </row>
    <row r="299" spans="1:23" x14ac:dyDescent="0.35">
      <c r="A299" t="s">
        <v>64</v>
      </c>
      <c r="B299" t="s">
        <v>259</v>
      </c>
      <c r="C299" t="s">
        <v>137</v>
      </c>
      <c r="D299" t="s">
        <v>1118</v>
      </c>
      <c r="E299" t="s">
        <v>1119</v>
      </c>
      <c r="F299">
        <v>2800</v>
      </c>
      <c r="G299">
        <v>0</v>
      </c>
      <c r="H299" t="s">
        <v>26</v>
      </c>
      <c r="I299" t="s">
        <v>27</v>
      </c>
      <c r="J299">
        <v>2016</v>
      </c>
      <c r="K299" t="s">
        <v>35</v>
      </c>
      <c r="L299" t="s">
        <v>85</v>
      </c>
      <c r="M299">
        <v>70000</v>
      </c>
      <c r="N299">
        <v>0</v>
      </c>
      <c r="O299">
        <v>0</v>
      </c>
      <c r="P299">
        <v>70000</v>
      </c>
      <c r="Q299">
        <v>0</v>
      </c>
      <c r="R299">
        <v>0</v>
      </c>
      <c r="S299">
        <v>51.507719999999999</v>
      </c>
      <c r="T299">
        <v>-3.6711299999999998</v>
      </c>
      <c r="U299">
        <v>45</v>
      </c>
      <c r="V299">
        <v>0.9</v>
      </c>
      <c r="W299">
        <f t="shared" si="4"/>
        <v>70000</v>
      </c>
    </row>
    <row r="300" spans="1:23" x14ac:dyDescent="0.35">
      <c r="A300" t="s">
        <v>58</v>
      </c>
      <c r="B300" t="s">
        <v>59</v>
      </c>
      <c r="C300" t="s">
        <v>1120</v>
      </c>
      <c r="D300" t="s">
        <v>1121</v>
      </c>
      <c r="E300" t="s">
        <v>1122</v>
      </c>
      <c r="F300">
        <v>1000</v>
      </c>
      <c r="G300">
        <v>0</v>
      </c>
      <c r="H300" t="s">
        <v>26</v>
      </c>
      <c r="I300" t="s">
        <v>27</v>
      </c>
      <c r="J300" t="s">
        <v>46</v>
      </c>
      <c r="K300" t="s">
        <v>35</v>
      </c>
      <c r="L300" t="s">
        <v>673</v>
      </c>
      <c r="M300">
        <v>20000</v>
      </c>
      <c r="N300">
        <v>0</v>
      </c>
      <c r="O300">
        <v>8000</v>
      </c>
      <c r="P300">
        <v>12000</v>
      </c>
      <c r="Q300">
        <v>0</v>
      </c>
      <c r="R300">
        <v>0</v>
      </c>
      <c r="S300">
        <v>53.038925599999999</v>
      </c>
      <c r="T300">
        <v>-0.87747240000000004</v>
      </c>
      <c r="U300">
        <v>45</v>
      </c>
      <c r="V300">
        <v>0.9</v>
      </c>
      <c r="W300">
        <f t="shared" si="4"/>
        <v>20000</v>
      </c>
    </row>
    <row r="301" spans="1:23" x14ac:dyDescent="0.35">
      <c r="A301" t="s">
        <v>163</v>
      </c>
      <c r="B301" t="s">
        <v>293</v>
      </c>
      <c r="C301" t="s">
        <v>1123</v>
      </c>
      <c r="D301" t="s">
        <v>1123</v>
      </c>
      <c r="E301" t="s">
        <v>1124</v>
      </c>
      <c r="F301">
        <v>250</v>
      </c>
      <c r="G301">
        <v>550</v>
      </c>
      <c r="H301" t="s">
        <v>34</v>
      </c>
      <c r="I301" t="s">
        <v>27</v>
      </c>
      <c r="J301">
        <v>2016</v>
      </c>
      <c r="K301" t="s">
        <v>28</v>
      </c>
      <c r="M301">
        <v>20000</v>
      </c>
      <c r="N301">
        <v>5000</v>
      </c>
      <c r="O301">
        <v>15000</v>
      </c>
      <c r="P301">
        <v>0</v>
      </c>
      <c r="Q301">
        <v>0</v>
      </c>
      <c r="R301">
        <v>0</v>
      </c>
      <c r="S301">
        <v>50.99962</v>
      </c>
      <c r="T301">
        <v>-2.6967500000000002</v>
      </c>
      <c r="U301">
        <v>45</v>
      </c>
      <c r="V301">
        <v>0.9</v>
      </c>
      <c r="W301">
        <f t="shared" si="4"/>
        <v>20000</v>
      </c>
    </row>
    <row r="302" spans="1:23" x14ac:dyDescent="0.35">
      <c r="A302" t="s">
        <v>22</v>
      </c>
      <c r="B302" t="s">
        <v>172</v>
      </c>
      <c r="C302" t="s">
        <v>1125</v>
      </c>
      <c r="D302" t="s">
        <v>1126</v>
      </c>
      <c r="E302" t="s">
        <v>1127</v>
      </c>
      <c r="F302">
        <v>482</v>
      </c>
      <c r="G302">
        <v>330</v>
      </c>
      <c r="H302" t="s">
        <v>34</v>
      </c>
      <c r="I302" t="s">
        <v>27</v>
      </c>
      <c r="J302">
        <v>2013</v>
      </c>
      <c r="K302" t="s">
        <v>28</v>
      </c>
      <c r="L302" t="s">
        <v>1128</v>
      </c>
      <c r="M302">
        <v>31000</v>
      </c>
      <c r="N302">
        <v>0</v>
      </c>
      <c r="O302">
        <v>16000</v>
      </c>
      <c r="P302">
        <v>0</v>
      </c>
      <c r="Q302">
        <v>15000</v>
      </c>
      <c r="R302">
        <v>0</v>
      </c>
      <c r="S302">
        <v>52.114669900000003</v>
      </c>
      <c r="T302">
        <v>-2.0240200000000002</v>
      </c>
      <c r="U302">
        <v>45</v>
      </c>
      <c r="V302">
        <v>0.9</v>
      </c>
      <c r="W302">
        <f t="shared" si="4"/>
        <v>31000</v>
      </c>
    </row>
    <row r="303" spans="1:23" x14ac:dyDescent="0.35">
      <c r="A303" t="s">
        <v>58</v>
      </c>
      <c r="B303" t="s">
        <v>159</v>
      </c>
      <c r="C303" t="s">
        <v>1129</v>
      </c>
      <c r="D303" t="s">
        <v>1130</v>
      </c>
      <c r="E303" t="s">
        <v>1131</v>
      </c>
      <c r="F303">
        <v>499</v>
      </c>
      <c r="G303">
        <v>0</v>
      </c>
      <c r="H303" t="s">
        <v>26</v>
      </c>
      <c r="I303" t="s">
        <v>27</v>
      </c>
      <c r="J303">
        <v>2014</v>
      </c>
      <c r="K303" t="s">
        <v>28</v>
      </c>
      <c r="L303" t="s">
        <v>1132</v>
      </c>
      <c r="M303">
        <v>14000</v>
      </c>
      <c r="N303">
        <v>0</v>
      </c>
      <c r="O303">
        <v>14000</v>
      </c>
      <c r="P303">
        <v>0</v>
      </c>
      <c r="Q303">
        <v>0</v>
      </c>
      <c r="R303">
        <v>0</v>
      </c>
      <c r="S303">
        <v>53.245060000000002</v>
      </c>
      <c r="T303">
        <v>-0.95313999999999999</v>
      </c>
      <c r="U303">
        <v>45</v>
      </c>
      <c r="V303">
        <v>0.9</v>
      </c>
      <c r="W303">
        <f t="shared" si="4"/>
        <v>14000</v>
      </c>
    </row>
    <row r="304" spans="1:23" x14ac:dyDescent="0.35">
      <c r="A304" t="s">
        <v>30</v>
      </c>
      <c r="B304" t="s">
        <v>288</v>
      </c>
      <c r="C304" t="s">
        <v>1133</v>
      </c>
      <c r="D304" t="s">
        <v>1134</v>
      </c>
      <c r="E304" t="s">
        <v>1135</v>
      </c>
      <c r="F304">
        <v>1560</v>
      </c>
      <c r="G304">
        <v>1000</v>
      </c>
      <c r="H304" t="s">
        <v>34</v>
      </c>
      <c r="I304" t="s">
        <v>27</v>
      </c>
      <c r="J304">
        <v>2023</v>
      </c>
      <c r="K304" t="s">
        <v>35</v>
      </c>
      <c r="L304" t="s">
        <v>1136</v>
      </c>
      <c r="M304">
        <v>129000</v>
      </c>
      <c r="N304">
        <v>13250</v>
      </c>
      <c r="O304">
        <v>20000</v>
      </c>
      <c r="P304">
        <v>90950</v>
      </c>
      <c r="Q304">
        <v>0</v>
      </c>
      <c r="R304">
        <v>4800</v>
      </c>
      <c r="S304">
        <v>52.525740266666674</v>
      </c>
      <c r="T304">
        <v>0.9914550333333334</v>
      </c>
      <c r="U304">
        <v>45</v>
      </c>
      <c r="V304">
        <v>0.9</v>
      </c>
      <c r="W304">
        <f t="shared" si="4"/>
        <v>129000</v>
      </c>
    </row>
    <row r="305" spans="1:23" x14ac:dyDescent="0.35">
      <c r="A305" t="s">
        <v>64</v>
      </c>
      <c r="B305" t="s">
        <v>259</v>
      </c>
      <c r="C305" t="s">
        <v>1137</v>
      </c>
      <c r="D305" t="s">
        <v>1138</v>
      </c>
      <c r="E305" t="s">
        <v>1139</v>
      </c>
      <c r="F305">
        <v>500</v>
      </c>
      <c r="G305">
        <v>0</v>
      </c>
      <c r="H305" t="s">
        <v>26</v>
      </c>
      <c r="I305" t="s">
        <v>27</v>
      </c>
      <c r="J305">
        <v>2017</v>
      </c>
      <c r="K305" t="s">
        <v>35</v>
      </c>
      <c r="L305" t="s">
        <v>1140</v>
      </c>
      <c r="M305">
        <v>20000</v>
      </c>
      <c r="N305">
        <v>0</v>
      </c>
      <c r="O305">
        <v>8000</v>
      </c>
      <c r="P305">
        <v>0</v>
      </c>
      <c r="Q305">
        <v>0</v>
      </c>
      <c r="R305">
        <v>12000</v>
      </c>
      <c r="S305">
        <v>51.768035033333327</v>
      </c>
      <c r="T305">
        <v>-3.3385340000000001</v>
      </c>
      <c r="U305">
        <v>45</v>
      </c>
      <c r="V305">
        <v>0.9</v>
      </c>
      <c r="W305">
        <f t="shared" si="4"/>
        <v>20000</v>
      </c>
    </row>
    <row r="306" spans="1:23" x14ac:dyDescent="0.35">
      <c r="A306" t="s">
        <v>76</v>
      </c>
      <c r="B306" t="s">
        <v>182</v>
      </c>
      <c r="C306" t="s">
        <v>491</v>
      </c>
      <c r="D306" t="s">
        <v>1141</v>
      </c>
      <c r="E306" t="s">
        <v>1142</v>
      </c>
      <c r="F306">
        <v>245</v>
      </c>
      <c r="G306">
        <v>275</v>
      </c>
      <c r="H306" t="s">
        <v>34</v>
      </c>
      <c r="I306" t="s">
        <v>27</v>
      </c>
      <c r="J306">
        <v>2014</v>
      </c>
      <c r="K306" t="s">
        <v>28</v>
      </c>
      <c r="L306" t="s">
        <v>1143</v>
      </c>
      <c r="M306">
        <v>37000</v>
      </c>
      <c r="N306">
        <v>0</v>
      </c>
      <c r="O306">
        <v>32000</v>
      </c>
      <c r="P306">
        <v>0</v>
      </c>
      <c r="Q306">
        <v>5000</v>
      </c>
      <c r="R306">
        <v>0</v>
      </c>
      <c r="S306">
        <v>51.356760000000001</v>
      </c>
      <c r="T306">
        <v>1.2443500000000001</v>
      </c>
      <c r="U306">
        <v>45</v>
      </c>
      <c r="V306">
        <v>0.9</v>
      </c>
      <c r="W306">
        <f t="shared" si="4"/>
        <v>37000</v>
      </c>
    </row>
    <row r="307" spans="1:23" x14ac:dyDescent="0.35">
      <c r="A307" t="s">
        <v>30</v>
      </c>
      <c r="B307" t="s">
        <v>288</v>
      </c>
      <c r="C307" t="s">
        <v>662</v>
      </c>
      <c r="D307" t="s">
        <v>1144</v>
      </c>
      <c r="E307" t="s">
        <v>1145</v>
      </c>
      <c r="F307">
        <v>1500</v>
      </c>
      <c r="G307">
        <v>0</v>
      </c>
      <c r="H307" t="s">
        <v>26</v>
      </c>
      <c r="I307" t="s">
        <v>27</v>
      </c>
      <c r="J307">
        <v>2012</v>
      </c>
      <c r="K307" t="s">
        <v>28</v>
      </c>
      <c r="L307" t="s">
        <v>1146</v>
      </c>
      <c r="M307">
        <v>28000</v>
      </c>
      <c r="N307">
        <v>0</v>
      </c>
      <c r="O307">
        <v>28000</v>
      </c>
      <c r="P307">
        <v>0</v>
      </c>
      <c r="Q307">
        <v>0</v>
      </c>
      <c r="R307">
        <v>0</v>
      </c>
      <c r="S307">
        <v>52.701957899999996</v>
      </c>
      <c r="T307">
        <v>1.2035659000000001</v>
      </c>
      <c r="U307">
        <v>45</v>
      </c>
      <c r="V307">
        <v>0.9</v>
      </c>
      <c r="W307">
        <f t="shared" si="4"/>
        <v>28000</v>
      </c>
    </row>
    <row r="308" spans="1:23" x14ac:dyDescent="0.35">
      <c r="A308" t="s">
        <v>102</v>
      </c>
      <c r="B308" t="s">
        <v>154</v>
      </c>
      <c r="C308" t="s">
        <v>1147</v>
      </c>
      <c r="D308" t="s">
        <v>1148</v>
      </c>
      <c r="E308" t="s">
        <v>1149</v>
      </c>
      <c r="F308">
        <v>185</v>
      </c>
      <c r="G308">
        <v>0</v>
      </c>
      <c r="H308" t="s">
        <v>26</v>
      </c>
      <c r="I308" t="s">
        <v>27</v>
      </c>
      <c r="J308">
        <v>2014</v>
      </c>
      <c r="K308" t="s">
        <v>28</v>
      </c>
      <c r="L308" t="s">
        <v>1150</v>
      </c>
      <c r="M308">
        <v>11000</v>
      </c>
      <c r="N308">
        <v>7000</v>
      </c>
      <c r="O308">
        <v>4000</v>
      </c>
      <c r="P308">
        <v>0</v>
      </c>
      <c r="Q308">
        <v>0</v>
      </c>
      <c r="R308">
        <v>0</v>
      </c>
      <c r="S308">
        <v>55.501179999999998</v>
      </c>
      <c r="T308">
        <v>-2.6910099999999999</v>
      </c>
      <c r="U308">
        <v>45</v>
      </c>
      <c r="V308">
        <v>0.9</v>
      </c>
      <c r="W308">
        <f t="shared" si="4"/>
        <v>11000</v>
      </c>
    </row>
    <row r="309" spans="1:23" x14ac:dyDescent="0.35">
      <c r="A309" t="s">
        <v>70</v>
      </c>
      <c r="B309" t="s">
        <v>528</v>
      </c>
      <c r="C309" t="s">
        <v>1151</v>
      </c>
      <c r="D309" t="s">
        <v>1152</v>
      </c>
      <c r="E309" t="s">
        <v>1153</v>
      </c>
      <c r="F309">
        <v>800</v>
      </c>
      <c r="G309">
        <v>0</v>
      </c>
      <c r="H309" t="s">
        <v>26</v>
      </c>
      <c r="I309" t="s">
        <v>27</v>
      </c>
      <c r="J309">
        <v>2014</v>
      </c>
      <c r="K309" t="s">
        <v>28</v>
      </c>
      <c r="L309" t="s">
        <v>1154</v>
      </c>
      <c r="M309">
        <v>17000</v>
      </c>
      <c r="N309">
        <v>4000</v>
      </c>
      <c r="O309">
        <v>3000</v>
      </c>
      <c r="P309">
        <v>0</v>
      </c>
      <c r="Q309">
        <v>10000</v>
      </c>
      <c r="R309">
        <v>0</v>
      </c>
      <c r="S309">
        <v>53.804200000000002</v>
      </c>
      <c r="T309">
        <v>-2.9232499999999999</v>
      </c>
      <c r="U309">
        <v>45</v>
      </c>
      <c r="V309">
        <v>0.9</v>
      </c>
      <c r="W309">
        <f t="shared" si="4"/>
        <v>17000</v>
      </c>
    </row>
    <row r="310" spans="1:23" x14ac:dyDescent="0.35">
      <c r="A310" t="s">
        <v>163</v>
      </c>
      <c r="B310" t="s">
        <v>169</v>
      </c>
      <c r="C310" t="s">
        <v>1155</v>
      </c>
      <c r="D310" t="s">
        <v>1156</v>
      </c>
      <c r="E310" t="s">
        <v>1157</v>
      </c>
      <c r="F310">
        <v>3600</v>
      </c>
      <c r="G310">
        <v>0</v>
      </c>
      <c r="H310" t="s">
        <v>34</v>
      </c>
      <c r="I310" t="s">
        <v>27</v>
      </c>
      <c r="J310">
        <v>2010</v>
      </c>
      <c r="K310" t="s">
        <v>35</v>
      </c>
      <c r="L310" t="s">
        <v>1158</v>
      </c>
      <c r="M310">
        <v>120000</v>
      </c>
      <c r="N310">
        <v>0</v>
      </c>
      <c r="O310">
        <v>0</v>
      </c>
      <c r="P310">
        <v>120000</v>
      </c>
      <c r="Q310">
        <v>0</v>
      </c>
      <c r="R310">
        <v>0</v>
      </c>
      <c r="S310">
        <v>52.040280000000003</v>
      </c>
      <c r="T310">
        <v>-1.77434</v>
      </c>
      <c r="U310">
        <v>45</v>
      </c>
      <c r="V310">
        <v>0.9</v>
      </c>
      <c r="W310">
        <f t="shared" si="4"/>
        <v>120000</v>
      </c>
    </row>
    <row r="311" spans="1:23" x14ac:dyDescent="0.35">
      <c r="A311" t="s">
        <v>58</v>
      </c>
      <c r="B311" t="s">
        <v>59</v>
      </c>
      <c r="C311" t="s">
        <v>1159</v>
      </c>
      <c r="D311" t="s">
        <v>1159</v>
      </c>
      <c r="E311" t="s">
        <v>1160</v>
      </c>
      <c r="F311">
        <v>2810</v>
      </c>
      <c r="G311">
        <v>0</v>
      </c>
      <c r="H311" t="s">
        <v>26</v>
      </c>
      <c r="I311" t="s">
        <v>27</v>
      </c>
      <c r="J311">
        <v>2011</v>
      </c>
      <c r="K311" t="s">
        <v>28</v>
      </c>
      <c r="L311" t="s">
        <v>1161</v>
      </c>
      <c r="M311">
        <v>51000</v>
      </c>
      <c r="N311">
        <v>0</v>
      </c>
      <c r="O311">
        <v>30000</v>
      </c>
      <c r="P311">
        <v>0</v>
      </c>
      <c r="Q311">
        <v>21000</v>
      </c>
      <c r="R311">
        <v>0</v>
      </c>
      <c r="S311">
        <v>53.033610000000003</v>
      </c>
      <c r="T311">
        <v>0.15636</v>
      </c>
      <c r="U311">
        <v>45</v>
      </c>
      <c r="V311">
        <v>0.9</v>
      </c>
      <c r="W311">
        <f t="shared" si="4"/>
        <v>51000</v>
      </c>
    </row>
    <row r="312" spans="1:23" x14ac:dyDescent="0.35">
      <c r="A312" t="s">
        <v>58</v>
      </c>
      <c r="B312" t="s">
        <v>59</v>
      </c>
      <c r="C312" t="s">
        <v>1162</v>
      </c>
      <c r="D312" t="s">
        <v>1163</v>
      </c>
      <c r="E312" t="s">
        <v>1164</v>
      </c>
      <c r="F312">
        <v>480</v>
      </c>
      <c r="G312">
        <v>0</v>
      </c>
      <c r="H312" t="s">
        <v>34</v>
      </c>
      <c r="I312" t="s">
        <v>27</v>
      </c>
      <c r="J312">
        <v>2013</v>
      </c>
      <c r="K312" t="s">
        <v>28</v>
      </c>
      <c r="L312" t="s">
        <v>1165</v>
      </c>
      <c r="M312">
        <v>25000</v>
      </c>
      <c r="N312">
        <v>0</v>
      </c>
      <c r="O312">
        <v>7500</v>
      </c>
      <c r="P312">
        <v>0</v>
      </c>
      <c r="Q312">
        <v>17500</v>
      </c>
      <c r="R312">
        <v>0</v>
      </c>
      <c r="S312">
        <v>53.033556500000003</v>
      </c>
      <c r="T312">
        <v>3.6485400000000001E-2</v>
      </c>
      <c r="U312">
        <v>45</v>
      </c>
      <c r="V312">
        <v>0.9</v>
      </c>
      <c r="W312">
        <f t="shared" si="4"/>
        <v>25000</v>
      </c>
    </row>
    <row r="313" spans="1:23" x14ac:dyDescent="0.35">
      <c r="A313" t="s">
        <v>30</v>
      </c>
      <c r="B313" t="s">
        <v>415</v>
      </c>
      <c r="C313" t="s">
        <v>1166</v>
      </c>
      <c r="D313" t="s">
        <v>1167</v>
      </c>
      <c r="E313" t="s">
        <v>1168</v>
      </c>
      <c r="F313">
        <v>992</v>
      </c>
      <c r="G313">
        <v>0</v>
      </c>
      <c r="H313" t="s">
        <v>26</v>
      </c>
      <c r="I313" t="s">
        <v>27</v>
      </c>
      <c r="J313">
        <v>2012</v>
      </c>
      <c r="K313" t="s">
        <v>28</v>
      </c>
      <c r="L313" t="s">
        <v>176</v>
      </c>
      <c r="M313">
        <v>20000</v>
      </c>
      <c r="N313">
        <v>0</v>
      </c>
      <c r="O313">
        <v>20000</v>
      </c>
      <c r="P313">
        <v>0</v>
      </c>
      <c r="Q313">
        <v>0</v>
      </c>
      <c r="R313">
        <v>0</v>
      </c>
      <c r="S313">
        <v>51.945709999999998</v>
      </c>
      <c r="T313">
        <v>0.33389990000000003</v>
      </c>
      <c r="U313">
        <v>45</v>
      </c>
      <c r="V313">
        <v>0.9</v>
      </c>
      <c r="W313">
        <f t="shared" si="4"/>
        <v>20000</v>
      </c>
    </row>
    <row r="314" spans="1:23" x14ac:dyDescent="0.35">
      <c r="A314" t="s">
        <v>22</v>
      </c>
      <c r="B314" t="s">
        <v>23</v>
      </c>
      <c r="C314" t="s">
        <v>1169</v>
      </c>
      <c r="D314" t="s">
        <v>1170</v>
      </c>
      <c r="E314" t="s">
        <v>1171</v>
      </c>
      <c r="F314">
        <v>1430</v>
      </c>
      <c r="G314">
        <v>0</v>
      </c>
      <c r="H314" t="s">
        <v>26</v>
      </c>
      <c r="I314" t="s">
        <v>27</v>
      </c>
      <c r="J314">
        <v>2015</v>
      </c>
      <c r="K314" t="s">
        <v>28</v>
      </c>
      <c r="L314" t="s">
        <v>1172</v>
      </c>
      <c r="M314">
        <v>33000</v>
      </c>
      <c r="N314">
        <v>33000</v>
      </c>
      <c r="O314">
        <v>0</v>
      </c>
      <c r="P314">
        <v>0</v>
      </c>
      <c r="Q314">
        <v>0</v>
      </c>
      <c r="R314">
        <v>0</v>
      </c>
      <c r="S314">
        <v>52.74729</v>
      </c>
      <c r="T314">
        <v>-2.3414700000000002</v>
      </c>
      <c r="U314">
        <v>45</v>
      </c>
      <c r="V314">
        <v>0.9</v>
      </c>
      <c r="W314">
        <f t="shared" si="4"/>
        <v>33000</v>
      </c>
    </row>
    <row r="315" spans="1:23" x14ac:dyDescent="0.35">
      <c r="A315" t="s">
        <v>58</v>
      </c>
      <c r="B315" t="s">
        <v>159</v>
      </c>
      <c r="C315" t="s">
        <v>137</v>
      </c>
      <c r="D315" t="s">
        <v>1173</v>
      </c>
      <c r="E315" t="s">
        <v>1174</v>
      </c>
      <c r="F315">
        <v>5600</v>
      </c>
      <c r="G315">
        <v>600</v>
      </c>
      <c r="H315" t="s">
        <v>34</v>
      </c>
      <c r="I315" t="s">
        <v>27</v>
      </c>
      <c r="J315">
        <v>2010</v>
      </c>
      <c r="K315" t="s">
        <v>28</v>
      </c>
      <c r="L315" t="s">
        <v>276</v>
      </c>
      <c r="M315">
        <v>79000</v>
      </c>
      <c r="N315">
        <v>0</v>
      </c>
      <c r="O315">
        <v>79000</v>
      </c>
      <c r="P315">
        <v>0</v>
      </c>
      <c r="Q315">
        <v>0</v>
      </c>
      <c r="R315">
        <v>0</v>
      </c>
      <c r="S315">
        <v>52.968260000000001</v>
      </c>
      <c r="T315">
        <v>-1.0508</v>
      </c>
      <c r="U315">
        <v>45</v>
      </c>
      <c r="V315">
        <v>0.9</v>
      </c>
      <c r="W315">
        <f t="shared" si="4"/>
        <v>79000</v>
      </c>
    </row>
    <row r="316" spans="1:23" x14ac:dyDescent="0.35">
      <c r="A316" t="s">
        <v>163</v>
      </c>
      <c r="B316" t="s">
        <v>164</v>
      </c>
      <c r="C316" t="s">
        <v>1175</v>
      </c>
      <c r="D316" t="s">
        <v>1176</v>
      </c>
      <c r="E316" t="s">
        <v>1177</v>
      </c>
      <c r="F316">
        <v>485.4</v>
      </c>
      <c r="G316">
        <v>0</v>
      </c>
      <c r="H316" t="s">
        <v>26</v>
      </c>
      <c r="I316" t="s">
        <v>27</v>
      </c>
      <c r="J316">
        <v>2016</v>
      </c>
      <c r="K316" t="s">
        <v>28</v>
      </c>
      <c r="L316" t="s">
        <v>381</v>
      </c>
      <c r="M316">
        <v>22000</v>
      </c>
      <c r="N316">
        <v>10000</v>
      </c>
      <c r="O316">
        <v>12000</v>
      </c>
      <c r="P316">
        <v>0</v>
      </c>
      <c r="Q316">
        <v>0</v>
      </c>
      <c r="R316">
        <v>0</v>
      </c>
      <c r="S316">
        <v>51.299819900000003</v>
      </c>
      <c r="T316">
        <v>-2.0755400000000002</v>
      </c>
      <c r="U316">
        <v>45</v>
      </c>
      <c r="V316">
        <v>0.9</v>
      </c>
      <c r="W316">
        <f t="shared" si="4"/>
        <v>22000</v>
      </c>
    </row>
    <row r="317" spans="1:23" x14ac:dyDescent="0.35">
      <c r="A317" t="s">
        <v>58</v>
      </c>
      <c r="B317" t="s">
        <v>159</v>
      </c>
      <c r="C317" t="s">
        <v>524</v>
      </c>
      <c r="D317" t="s">
        <v>1178</v>
      </c>
      <c r="E317" t="s">
        <v>1179</v>
      </c>
      <c r="F317">
        <v>950</v>
      </c>
      <c r="G317">
        <v>0</v>
      </c>
      <c r="H317" t="s">
        <v>26</v>
      </c>
      <c r="I317" t="s">
        <v>27</v>
      </c>
      <c r="J317">
        <v>2015</v>
      </c>
      <c r="K317" t="s">
        <v>28</v>
      </c>
      <c r="L317" t="s">
        <v>1180</v>
      </c>
      <c r="M317">
        <v>19000</v>
      </c>
      <c r="N317">
        <v>0</v>
      </c>
      <c r="O317">
        <v>19000</v>
      </c>
      <c r="P317">
        <v>0</v>
      </c>
      <c r="Q317">
        <v>0</v>
      </c>
      <c r="R317">
        <v>0</v>
      </c>
      <c r="S317">
        <v>52.917102</v>
      </c>
      <c r="T317">
        <v>-1.00907985</v>
      </c>
      <c r="U317">
        <v>45</v>
      </c>
      <c r="V317">
        <v>0.9</v>
      </c>
      <c r="W317">
        <f t="shared" si="4"/>
        <v>19000</v>
      </c>
    </row>
    <row r="318" spans="1:23" x14ac:dyDescent="0.35">
      <c r="A318" t="s">
        <v>76</v>
      </c>
      <c r="B318" t="s">
        <v>120</v>
      </c>
      <c r="C318" t="s">
        <v>1181</v>
      </c>
      <c r="D318" t="s">
        <v>1182</v>
      </c>
      <c r="E318" t="s">
        <v>1183</v>
      </c>
      <c r="F318">
        <v>1235</v>
      </c>
      <c r="G318">
        <v>0</v>
      </c>
      <c r="H318" t="s">
        <v>26</v>
      </c>
      <c r="I318" t="s">
        <v>27</v>
      </c>
      <c r="J318">
        <v>2012</v>
      </c>
      <c r="K318" t="s">
        <v>28</v>
      </c>
      <c r="L318" t="s">
        <v>1184</v>
      </c>
      <c r="M318">
        <v>26000</v>
      </c>
      <c r="N318">
        <v>6750</v>
      </c>
      <c r="O318">
        <v>19250</v>
      </c>
      <c r="P318">
        <v>0</v>
      </c>
      <c r="Q318">
        <v>0</v>
      </c>
      <c r="R318">
        <v>0</v>
      </c>
      <c r="S318">
        <v>52.088470000000001</v>
      </c>
      <c r="T318">
        <v>-1.1878899000000001</v>
      </c>
      <c r="U318">
        <v>45</v>
      </c>
      <c r="V318">
        <v>0.9</v>
      </c>
      <c r="W318">
        <f t="shared" si="4"/>
        <v>26000</v>
      </c>
    </row>
    <row r="319" spans="1:23" x14ac:dyDescent="0.35">
      <c r="A319" t="s">
        <v>58</v>
      </c>
      <c r="B319" t="s">
        <v>159</v>
      </c>
      <c r="C319" t="s">
        <v>1185</v>
      </c>
      <c r="D319" t="s">
        <v>1186</v>
      </c>
      <c r="E319" t="s">
        <v>1187</v>
      </c>
      <c r="F319">
        <v>2200</v>
      </c>
      <c r="G319">
        <v>500</v>
      </c>
      <c r="H319" t="s">
        <v>34</v>
      </c>
      <c r="I319" t="s">
        <v>27</v>
      </c>
      <c r="J319">
        <v>2016</v>
      </c>
      <c r="K319" t="s">
        <v>28</v>
      </c>
      <c r="L319" t="s">
        <v>1188</v>
      </c>
      <c r="M319">
        <v>42400</v>
      </c>
      <c r="N319">
        <v>15000</v>
      </c>
      <c r="O319">
        <v>20000</v>
      </c>
      <c r="P319">
        <v>0</v>
      </c>
      <c r="Q319">
        <v>7400</v>
      </c>
      <c r="R319">
        <v>0</v>
      </c>
      <c r="S319">
        <v>53.161569999999998</v>
      </c>
      <c r="T319">
        <v>-1.0300499999999999</v>
      </c>
      <c r="U319">
        <v>45</v>
      </c>
      <c r="V319">
        <v>0.9</v>
      </c>
      <c r="W319">
        <f t="shared" si="4"/>
        <v>42400</v>
      </c>
    </row>
    <row r="320" spans="1:23" x14ac:dyDescent="0.35">
      <c r="A320" t="s">
        <v>30</v>
      </c>
      <c r="B320" t="s">
        <v>31</v>
      </c>
      <c r="C320" t="s">
        <v>1189</v>
      </c>
      <c r="D320" t="s">
        <v>1190</v>
      </c>
      <c r="E320" t="s">
        <v>1191</v>
      </c>
      <c r="F320">
        <v>3526.03</v>
      </c>
      <c r="G320">
        <v>0</v>
      </c>
      <c r="H320" t="s">
        <v>26</v>
      </c>
      <c r="I320" t="s">
        <v>27</v>
      </c>
      <c r="J320">
        <v>2012</v>
      </c>
      <c r="K320" t="s">
        <v>28</v>
      </c>
      <c r="L320" t="s">
        <v>1192</v>
      </c>
      <c r="M320">
        <v>71640</v>
      </c>
      <c r="N320">
        <v>7000</v>
      </c>
      <c r="O320">
        <v>40000</v>
      </c>
      <c r="P320">
        <v>0</v>
      </c>
      <c r="Q320">
        <v>21000</v>
      </c>
      <c r="R320">
        <v>3640</v>
      </c>
      <c r="S320">
        <v>52.130704399999999</v>
      </c>
      <c r="T320">
        <v>1.42913435</v>
      </c>
      <c r="U320">
        <v>45</v>
      </c>
      <c r="V320">
        <v>0.9</v>
      </c>
      <c r="W320">
        <f t="shared" si="4"/>
        <v>71640</v>
      </c>
    </row>
    <row r="321" spans="1:23" x14ac:dyDescent="0.35">
      <c r="A321" t="s">
        <v>58</v>
      </c>
      <c r="B321" t="s">
        <v>536</v>
      </c>
      <c r="C321" t="s">
        <v>962</v>
      </c>
      <c r="D321" t="s">
        <v>1193</v>
      </c>
      <c r="E321" t="s">
        <v>1194</v>
      </c>
      <c r="F321">
        <v>240</v>
      </c>
      <c r="G321">
        <v>0</v>
      </c>
      <c r="H321" t="s">
        <v>26</v>
      </c>
      <c r="I321" t="s">
        <v>27</v>
      </c>
      <c r="J321">
        <v>2007</v>
      </c>
      <c r="K321" t="s">
        <v>35</v>
      </c>
      <c r="L321" t="s">
        <v>85</v>
      </c>
      <c r="M321">
        <v>25000</v>
      </c>
      <c r="N321">
        <v>0</v>
      </c>
      <c r="O321">
        <v>0</v>
      </c>
      <c r="P321">
        <v>25000</v>
      </c>
      <c r="Q321">
        <v>0</v>
      </c>
      <c r="R321">
        <v>0</v>
      </c>
      <c r="S321">
        <v>52.344142400000003</v>
      </c>
      <c r="T321">
        <v>-1.120309033333333</v>
      </c>
      <c r="U321">
        <v>45</v>
      </c>
      <c r="V321">
        <v>0.9</v>
      </c>
      <c r="W321">
        <f t="shared" si="4"/>
        <v>25000</v>
      </c>
    </row>
    <row r="322" spans="1:23" x14ac:dyDescent="0.35">
      <c r="A322" t="s">
        <v>163</v>
      </c>
      <c r="B322" t="s">
        <v>293</v>
      </c>
      <c r="C322" t="s">
        <v>382</v>
      </c>
      <c r="D322" t="s">
        <v>1195</v>
      </c>
      <c r="E322" t="s">
        <v>1196</v>
      </c>
      <c r="F322">
        <v>1000</v>
      </c>
      <c r="G322">
        <v>600</v>
      </c>
      <c r="H322" t="s">
        <v>34</v>
      </c>
      <c r="I322" t="s">
        <v>27</v>
      </c>
      <c r="J322">
        <v>2015</v>
      </c>
      <c r="K322" t="s">
        <v>28</v>
      </c>
      <c r="L322" t="s">
        <v>1197</v>
      </c>
      <c r="M322">
        <v>66000</v>
      </c>
      <c r="N322">
        <v>12800</v>
      </c>
      <c r="O322">
        <v>48200</v>
      </c>
      <c r="P322">
        <v>0</v>
      </c>
      <c r="Q322">
        <v>5000</v>
      </c>
      <c r="R322">
        <v>0</v>
      </c>
      <c r="S322">
        <v>50.941302399999998</v>
      </c>
      <c r="T322">
        <v>-2.8234650999999999</v>
      </c>
      <c r="U322">
        <v>45</v>
      </c>
      <c r="V322">
        <v>0.9</v>
      </c>
      <c r="W322">
        <f t="shared" si="4"/>
        <v>66000</v>
      </c>
    </row>
    <row r="323" spans="1:23" x14ac:dyDescent="0.35">
      <c r="A323" t="s">
        <v>76</v>
      </c>
      <c r="B323" t="s">
        <v>120</v>
      </c>
      <c r="C323" t="s">
        <v>1198</v>
      </c>
      <c r="D323" t="s">
        <v>1199</v>
      </c>
      <c r="E323" t="s">
        <v>1200</v>
      </c>
      <c r="F323">
        <v>1500</v>
      </c>
      <c r="G323">
        <v>0</v>
      </c>
      <c r="H323" t="s">
        <v>26</v>
      </c>
      <c r="I323" t="s">
        <v>27</v>
      </c>
      <c r="J323">
        <v>2011</v>
      </c>
      <c r="K323" t="s">
        <v>28</v>
      </c>
      <c r="L323" t="s">
        <v>176</v>
      </c>
      <c r="M323">
        <v>22000</v>
      </c>
      <c r="N323">
        <v>0</v>
      </c>
      <c r="O323">
        <v>22000</v>
      </c>
      <c r="P323">
        <v>0</v>
      </c>
      <c r="Q323">
        <v>0</v>
      </c>
      <c r="R323">
        <v>0</v>
      </c>
      <c r="S323">
        <v>51.639530000000001</v>
      </c>
      <c r="T323">
        <v>-1.25953</v>
      </c>
      <c r="U323">
        <v>45</v>
      </c>
      <c r="V323">
        <v>0.9</v>
      </c>
      <c r="W323">
        <f t="shared" ref="W323:W373" si="5">M323</f>
        <v>22000</v>
      </c>
    </row>
    <row r="324" spans="1:23" x14ac:dyDescent="0.35">
      <c r="A324" t="s">
        <v>58</v>
      </c>
      <c r="B324" t="s">
        <v>159</v>
      </c>
      <c r="C324" t="s">
        <v>1201</v>
      </c>
      <c r="D324" t="s">
        <v>1202</v>
      </c>
      <c r="E324" t="s">
        <v>1203</v>
      </c>
      <c r="F324">
        <v>2854.6</v>
      </c>
      <c r="G324">
        <v>0</v>
      </c>
      <c r="H324" t="s">
        <v>26</v>
      </c>
      <c r="I324" t="s">
        <v>27</v>
      </c>
      <c r="J324">
        <v>2014</v>
      </c>
      <c r="K324" t="s">
        <v>28</v>
      </c>
      <c r="L324" t="s">
        <v>1204</v>
      </c>
      <c r="M324">
        <v>45000</v>
      </c>
      <c r="N324">
        <v>5000</v>
      </c>
      <c r="O324">
        <v>30000</v>
      </c>
      <c r="P324">
        <v>0</v>
      </c>
      <c r="Q324">
        <v>10000</v>
      </c>
      <c r="R324">
        <v>0</v>
      </c>
      <c r="S324">
        <v>53.36074</v>
      </c>
      <c r="T324">
        <v>-0.95091999999999999</v>
      </c>
      <c r="U324">
        <v>45</v>
      </c>
      <c r="V324">
        <v>0.9</v>
      </c>
      <c r="W324">
        <f t="shared" si="5"/>
        <v>45000</v>
      </c>
    </row>
    <row r="325" spans="1:23" x14ac:dyDescent="0.35">
      <c r="A325" t="s">
        <v>22</v>
      </c>
      <c r="B325" t="s">
        <v>23</v>
      </c>
      <c r="C325" t="s">
        <v>1205</v>
      </c>
      <c r="D325" t="s">
        <v>1206</v>
      </c>
      <c r="E325" t="s">
        <v>1207</v>
      </c>
      <c r="F325">
        <v>3400</v>
      </c>
      <c r="G325">
        <v>0</v>
      </c>
      <c r="H325" t="s">
        <v>26</v>
      </c>
      <c r="I325" t="s">
        <v>27</v>
      </c>
      <c r="J325">
        <v>2012</v>
      </c>
      <c r="K325" t="s">
        <v>35</v>
      </c>
      <c r="L325" t="s">
        <v>980</v>
      </c>
      <c r="M325">
        <v>75000</v>
      </c>
      <c r="N325">
        <v>0</v>
      </c>
      <c r="O325">
        <v>30000</v>
      </c>
      <c r="P325">
        <v>45000</v>
      </c>
      <c r="Q325">
        <v>0</v>
      </c>
      <c r="R325">
        <v>0</v>
      </c>
      <c r="S325">
        <v>52.543259900000002</v>
      </c>
      <c r="T325">
        <v>-2.3811800000000001</v>
      </c>
      <c r="U325">
        <v>45</v>
      </c>
      <c r="V325">
        <v>0.9</v>
      </c>
      <c r="W325">
        <f t="shared" si="5"/>
        <v>75000</v>
      </c>
    </row>
    <row r="326" spans="1:23" x14ac:dyDescent="0.35">
      <c r="A326" t="s">
        <v>30</v>
      </c>
      <c r="B326" t="s">
        <v>31</v>
      </c>
      <c r="C326" t="s">
        <v>662</v>
      </c>
      <c r="D326" t="s">
        <v>1208</v>
      </c>
      <c r="E326" t="s">
        <v>1209</v>
      </c>
      <c r="F326">
        <v>1400</v>
      </c>
      <c r="G326">
        <v>0</v>
      </c>
      <c r="H326" t="s">
        <v>26</v>
      </c>
      <c r="I326" t="s">
        <v>27</v>
      </c>
      <c r="J326">
        <v>2012</v>
      </c>
      <c r="K326" t="s">
        <v>28</v>
      </c>
      <c r="L326" t="s">
        <v>1210</v>
      </c>
      <c r="M326">
        <v>32000</v>
      </c>
      <c r="N326">
        <v>5000</v>
      </c>
      <c r="O326">
        <v>21000</v>
      </c>
      <c r="P326">
        <v>0</v>
      </c>
      <c r="Q326">
        <v>6000</v>
      </c>
      <c r="R326">
        <v>0</v>
      </c>
      <c r="S326">
        <v>52.258669500000003</v>
      </c>
      <c r="T326">
        <v>0.61619040000000003</v>
      </c>
      <c r="U326">
        <v>45</v>
      </c>
      <c r="V326">
        <v>0.9</v>
      </c>
      <c r="W326">
        <f t="shared" si="5"/>
        <v>32000</v>
      </c>
    </row>
    <row r="327" spans="1:23" x14ac:dyDescent="0.35">
      <c r="A327" t="s">
        <v>102</v>
      </c>
      <c r="B327" t="s">
        <v>103</v>
      </c>
      <c r="C327" t="s">
        <v>1211</v>
      </c>
      <c r="D327" t="s">
        <v>1212</v>
      </c>
      <c r="E327" t="s">
        <v>1213</v>
      </c>
      <c r="F327">
        <v>973</v>
      </c>
      <c r="G327">
        <v>220</v>
      </c>
      <c r="H327" t="s">
        <v>34</v>
      </c>
      <c r="I327" t="s">
        <v>27</v>
      </c>
      <c r="J327">
        <v>2016</v>
      </c>
      <c r="K327" t="s">
        <v>35</v>
      </c>
      <c r="L327" t="s">
        <v>1214</v>
      </c>
      <c r="M327">
        <v>24000</v>
      </c>
      <c r="N327">
        <v>0</v>
      </c>
      <c r="O327">
        <v>12000</v>
      </c>
      <c r="P327">
        <v>0</v>
      </c>
      <c r="Q327">
        <v>0</v>
      </c>
      <c r="R327">
        <v>12000</v>
      </c>
      <c r="S327">
        <v>55.951259999999998</v>
      </c>
      <c r="T327">
        <v>-4.3580699999999997</v>
      </c>
      <c r="U327">
        <v>45</v>
      </c>
      <c r="V327">
        <v>0.9</v>
      </c>
      <c r="W327">
        <f t="shared" si="5"/>
        <v>24000</v>
      </c>
    </row>
    <row r="328" spans="1:23" x14ac:dyDescent="0.35">
      <c r="A328" t="s">
        <v>102</v>
      </c>
      <c r="B328" t="s">
        <v>432</v>
      </c>
      <c r="C328" t="s">
        <v>1215</v>
      </c>
      <c r="D328" t="s">
        <v>1216</v>
      </c>
      <c r="E328" t="s">
        <v>1217</v>
      </c>
      <c r="F328">
        <v>350</v>
      </c>
      <c r="G328">
        <v>425</v>
      </c>
      <c r="H328" t="s">
        <v>34</v>
      </c>
      <c r="I328" t="s">
        <v>27</v>
      </c>
      <c r="J328">
        <v>2020</v>
      </c>
      <c r="K328" t="s">
        <v>35</v>
      </c>
      <c r="L328" t="s">
        <v>1218</v>
      </c>
      <c r="M328">
        <v>81012</v>
      </c>
      <c r="N328">
        <v>0</v>
      </c>
      <c r="O328">
        <v>32500</v>
      </c>
      <c r="P328">
        <v>34300</v>
      </c>
      <c r="Q328">
        <v>14200</v>
      </c>
      <c r="R328">
        <v>12</v>
      </c>
      <c r="S328">
        <v>57.189300199999998</v>
      </c>
      <c r="T328">
        <v>-2.1935513000000002</v>
      </c>
      <c r="U328">
        <v>45</v>
      </c>
      <c r="V328">
        <v>0.9</v>
      </c>
      <c r="W328">
        <f t="shared" si="5"/>
        <v>81012</v>
      </c>
    </row>
    <row r="329" spans="1:23" x14ac:dyDescent="0.35">
      <c r="A329" t="s">
        <v>48</v>
      </c>
      <c r="B329" t="s">
        <v>49</v>
      </c>
      <c r="C329" t="s">
        <v>1219</v>
      </c>
      <c r="D329" t="s">
        <v>1220</v>
      </c>
      <c r="E329" t="s">
        <v>1221</v>
      </c>
      <c r="F329">
        <v>6250</v>
      </c>
      <c r="G329">
        <v>495</v>
      </c>
      <c r="H329" t="s">
        <v>34</v>
      </c>
      <c r="I329" t="s">
        <v>27</v>
      </c>
      <c r="J329">
        <v>2015</v>
      </c>
      <c r="K329" t="s">
        <v>35</v>
      </c>
      <c r="L329" t="s">
        <v>1222</v>
      </c>
      <c r="M329">
        <v>120000</v>
      </c>
      <c r="N329">
        <v>48000</v>
      </c>
      <c r="O329">
        <v>0</v>
      </c>
      <c r="P329">
        <v>60000</v>
      </c>
      <c r="Q329">
        <v>0</v>
      </c>
      <c r="R329">
        <v>12000</v>
      </c>
      <c r="S329">
        <v>54.600470000000001</v>
      </c>
      <c r="T329">
        <v>-1.16042</v>
      </c>
      <c r="U329">
        <v>45</v>
      </c>
      <c r="V329">
        <v>0.9</v>
      </c>
      <c r="W329">
        <f t="shared" si="5"/>
        <v>120000</v>
      </c>
    </row>
    <row r="330" spans="1:23" x14ac:dyDescent="0.35">
      <c r="A330" t="s">
        <v>70</v>
      </c>
      <c r="B330" t="s">
        <v>71</v>
      </c>
      <c r="C330" t="s">
        <v>1223</v>
      </c>
      <c r="D330" t="s">
        <v>1224</v>
      </c>
      <c r="E330" t="s">
        <v>1225</v>
      </c>
      <c r="F330">
        <v>75</v>
      </c>
      <c r="G330">
        <v>0</v>
      </c>
      <c r="H330" t="s">
        <v>26</v>
      </c>
      <c r="I330" t="s">
        <v>27</v>
      </c>
      <c r="J330">
        <v>2014</v>
      </c>
      <c r="K330" t="s">
        <v>28</v>
      </c>
      <c r="L330" t="s">
        <v>1226</v>
      </c>
      <c r="M330">
        <v>10296</v>
      </c>
      <c r="N330">
        <v>9500</v>
      </c>
      <c r="O330">
        <v>796</v>
      </c>
      <c r="P330">
        <v>0</v>
      </c>
      <c r="Q330">
        <v>0</v>
      </c>
      <c r="R330">
        <v>0</v>
      </c>
      <c r="S330">
        <v>54.886940000000003</v>
      </c>
      <c r="T330">
        <v>-3.0134500000000002</v>
      </c>
      <c r="U330">
        <v>45</v>
      </c>
      <c r="V330">
        <v>0.9</v>
      </c>
      <c r="W330">
        <f t="shared" si="5"/>
        <v>10296</v>
      </c>
    </row>
    <row r="331" spans="1:23" x14ac:dyDescent="0.35">
      <c r="A331" t="s">
        <v>22</v>
      </c>
      <c r="B331" t="s">
        <v>202</v>
      </c>
      <c r="C331" t="s">
        <v>1227</v>
      </c>
      <c r="D331" t="s">
        <v>1228</v>
      </c>
      <c r="E331" t="s">
        <v>1229</v>
      </c>
      <c r="F331">
        <v>449</v>
      </c>
      <c r="G331">
        <v>0</v>
      </c>
      <c r="H331" t="s">
        <v>26</v>
      </c>
      <c r="I331" t="s">
        <v>27</v>
      </c>
      <c r="J331">
        <v>2014</v>
      </c>
      <c r="K331" t="s">
        <v>28</v>
      </c>
      <c r="L331" t="s">
        <v>1230</v>
      </c>
      <c r="M331">
        <v>17125</v>
      </c>
      <c r="N331">
        <v>10000</v>
      </c>
      <c r="O331">
        <v>7125</v>
      </c>
      <c r="P331">
        <v>0</v>
      </c>
      <c r="Q331">
        <v>0</v>
      </c>
      <c r="R331">
        <v>0</v>
      </c>
      <c r="S331">
        <v>52.226210000000002</v>
      </c>
      <c r="T331">
        <v>-2.90448</v>
      </c>
      <c r="U331">
        <v>45</v>
      </c>
      <c r="V331">
        <v>0.9</v>
      </c>
      <c r="W331">
        <f t="shared" si="5"/>
        <v>17125</v>
      </c>
    </row>
    <row r="332" spans="1:23" x14ac:dyDescent="0.35">
      <c r="A332" t="s">
        <v>30</v>
      </c>
      <c r="B332" t="s">
        <v>43</v>
      </c>
      <c r="C332" t="s">
        <v>638</v>
      </c>
      <c r="D332" t="s">
        <v>1231</v>
      </c>
      <c r="E332" t="s">
        <v>1232</v>
      </c>
      <c r="F332">
        <v>480.29</v>
      </c>
      <c r="G332">
        <v>1100</v>
      </c>
      <c r="H332" t="s">
        <v>34</v>
      </c>
      <c r="I332" t="s">
        <v>27</v>
      </c>
      <c r="J332">
        <v>2014</v>
      </c>
      <c r="K332" t="s">
        <v>28</v>
      </c>
      <c r="L332" t="s">
        <v>1233</v>
      </c>
      <c r="M332">
        <v>25000</v>
      </c>
      <c r="N332">
        <v>0</v>
      </c>
      <c r="O332">
        <v>25000</v>
      </c>
      <c r="P332">
        <v>0</v>
      </c>
      <c r="Q332">
        <v>0</v>
      </c>
      <c r="R332">
        <v>0</v>
      </c>
      <c r="S332">
        <v>52.321632800000003</v>
      </c>
      <c r="T332">
        <v>0.20294319999999999</v>
      </c>
      <c r="U332">
        <v>45</v>
      </c>
      <c r="V332">
        <v>0.9</v>
      </c>
      <c r="W332">
        <f t="shared" si="5"/>
        <v>25000</v>
      </c>
    </row>
    <row r="333" spans="1:23" x14ac:dyDescent="0.35">
      <c r="A333" t="s">
        <v>22</v>
      </c>
      <c r="B333" t="s">
        <v>23</v>
      </c>
      <c r="C333" t="s">
        <v>666</v>
      </c>
      <c r="D333" t="s">
        <v>1234</v>
      </c>
      <c r="E333" t="s">
        <v>1235</v>
      </c>
      <c r="F333">
        <v>5000</v>
      </c>
      <c r="G333">
        <v>950</v>
      </c>
      <c r="H333" t="s">
        <v>373</v>
      </c>
      <c r="I333" t="s">
        <v>27</v>
      </c>
      <c r="J333">
        <v>2020</v>
      </c>
      <c r="K333" t="s">
        <v>35</v>
      </c>
      <c r="L333" t="s">
        <v>1236</v>
      </c>
      <c r="M333">
        <v>90000</v>
      </c>
      <c r="N333">
        <v>0</v>
      </c>
      <c r="O333">
        <v>0</v>
      </c>
      <c r="P333">
        <v>90000</v>
      </c>
      <c r="Q333">
        <v>0</v>
      </c>
      <c r="R333">
        <v>0</v>
      </c>
      <c r="S333">
        <v>52.771450000000002</v>
      </c>
      <c r="T333">
        <v>-2.56027</v>
      </c>
      <c r="U333">
        <v>45</v>
      </c>
      <c r="V333">
        <v>0.9</v>
      </c>
      <c r="W333">
        <f t="shared" si="5"/>
        <v>90000</v>
      </c>
    </row>
    <row r="334" spans="1:23" x14ac:dyDescent="0.35">
      <c r="A334" t="s">
        <v>70</v>
      </c>
      <c r="B334" t="s">
        <v>528</v>
      </c>
      <c r="C334" t="s">
        <v>1237</v>
      </c>
      <c r="D334" t="s">
        <v>1238</v>
      </c>
      <c r="E334" t="s">
        <v>1239</v>
      </c>
      <c r="F334">
        <v>1900</v>
      </c>
      <c r="G334">
        <v>0</v>
      </c>
      <c r="H334" t="s">
        <v>26</v>
      </c>
      <c r="I334" t="s">
        <v>27</v>
      </c>
      <c r="J334">
        <v>2010</v>
      </c>
      <c r="K334" t="s">
        <v>35</v>
      </c>
      <c r="L334" t="s">
        <v>53</v>
      </c>
      <c r="M334">
        <v>35000</v>
      </c>
      <c r="N334">
        <v>0</v>
      </c>
      <c r="O334">
        <v>0</v>
      </c>
      <c r="P334">
        <v>21000</v>
      </c>
      <c r="Q334">
        <v>0</v>
      </c>
      <c r="R334">
        <v>14000</v>
      </c>
      <c r="S334">
        <v>53.893619999999999</v>
      </c>
      <c r="T334">
        <v>-3.0168900000000001</v>
      </c>
      <c r="U334">
        <v>45</v>
      </c>
      <c r="V334">
        <v>0.9</v>
      </c>
      <c r="W334">
        <f t="shared" si="5"/>
        <v>35000</v>
      </c>
    </row>
    <row r="335" spans="1:23" x14ac:dyDescent="0.35">
      <c r="A335" t="s">
        <v>30</v>
      </c>
      <c r="B335" t="s">
        <v>31</v>
      </c>
      <c r="C335" t="s">
        <v>1240</v>
      </c>
      <c r="D335" t="s">
        <v>1241</v>
      </c>
      <c r="E335" t="s">
        <v>1242</v>
      </c>
      <c r="F335">
        <v>1000</v>
      </c>
      <c r="G335">
        <v>0</v>
      </c>
      <c r="H335" t="s">
        <v>26</v>
      </c>
      <c r="I335" t="s">
        <v>27</v>
      </c>
      <c r="J335" t="s">
        <v>46</v>
      </c>
      <c r="K335" t="s">
        <v>28</v>
      </c>
      <c r="L335" t="s">
        <v>1243</v>
      </c>
      <c r="M335">
        <v>20000</v>
      </c>
      <c r="N335">
        <v>0</v>
      </c>
      <c r="O335">
        <v>0</v>
      </c>
      <c r="P335">
        <v>0</v>
      </c>
      <c r="Q335">
        <v>20000</v>
      </c>
      <c r="R335">
        <v>0</v>
      </c>
      <c r="S335">
        <v>52.435420000000001</v>
      </c>
      <c r="T335">
        <v>0.50600999999999996</v>
      </c>
      <c r="U335">
        <v>45</v>
      </c>
      <c r="V335">
        <v>0.9</v>
      </c>
      <c r="W335">
        <f t="shared" si="5"/>
        <v>20000</v>
      </c>
    </row>
    <row r="336" spans="1:23" x14ac:dyDescent="0.35">
      <c r="A336" t="s">
        <v>64</v>
      </c>
      <c r="B336" t="s">
        <v>259</v>
      </c>
      <c r="C336" t="s">
        <v>277</v>
      </c>
      <c r="D336" t="s">
        <v>1244</v>
      </c>
      <c r="E336" t="s">
        <v>1245</v>
      </c>
      <c r="F336">
        <v>1180</v>
      </c>
      <c r="G336">
        <v>0</v>
      </c>
      <c r="H336" t="s">
        <v>26</v>
      </c>
      <c r="I336" t="s">
        <v>27</v>
      </c>
      <c r="J336">
        <v>2015</v>
      </c>
      <c r="K336" t="s">
        <v>35</v>
      </c>
      <c r="L336" t="s">
        <v>85</v>
      </c>
      <c r="M336">
        <v>22500</v>
      </c>
      <c r="N336">
        <v>0</v>
      </c>
      <c r="O336">
        <v>0</v>
      </c>
      <c r="P336">
        <v>22500</v>
      </c>
      <c r="Q336">
        <v>0</v>
      </c>
      <c r="R336">
        <v>0</v>
      </c>
      <c r="S336">
        <v>51.737769999999998</v>
      </c>
      <c r="T336">
        <v>-3.43642</v>
      </c>
      <c r="U336">
        <v>45</v>
      </c>
      <c r="V336">
        <v>0.9</v>
      </c>
      <c r="W336">
        <f t="shared" si="5"/>
        <v>22500</v>
      </c>
    </row>
    <row r="337" spans="1:23" x14ac:dyDescent="0.35">
      <c r="A337" t="s">
        <v>102</v>
      </c>
      <c r="B337" t="s">
        <v>587</v>
      </c>
      <c r="C337" t="s">
        <v>524</v>
      </c>
      <c r="D337" t="s">
        <v>1246</v>
      </c>
      <c r="E337" t="s">
        <v>1247</v>
      </c>
      <c r="F337">
        <v>250</v>
      </c>
      <c r="G337">
        <v>500</v>
      </c>
      <c r="H337" t="s">
        <v>34</v>
      </c>
      <c r="I337" t="s">
        <v>27</v>
      </c>
      <c r="J337">
        <v>2016</v>
      </c>
      <c r="K337" t="s">
        <v>28</v>
      </c>
      <c r="L337" t="s">
        <v>1248</v>
      </c>
      <c r="M337">
        <v>40000</v>
      </c>
      <c r="N337">
        <v>0</v>
      </c>
      <c r="O337">
        <v>40000</v>
      </c>
      <c r="P337">
        <v>0</v>
      </c>
      <c r="Q337">
        <v>0</v>
      </c>
      <c r="R337">
        <v>0</v>
      </c>
      <c r="S337">
        <v>57.519536250000002</v>
      </c>
      <c r="T337">
        <v>-4.0747074999999997</v>
      </c>
      <c r="U337">
        <v>45</v>
      </c>
      <c r="V337">
        <v>0.9</v>
      </c>
      <c r="W337">
        <f t="shared" si="5"/>
        <v>40000</v>
      </c>
    </row>
    <row r="338" spans="1:23" x14ac:dyDescent="0.35">
      <c r="A338" t="s">
        <v>163</v>
      </c>
      <c r="B338" t="s">
        <v>556</v>
      </c>
      <c r="C338" t="s">
        <v>1249</v>
      </c>
      <c r="D338" t="s">
        <v>1250</v>
      </c>
      <c r="E338" t="s">
        <v>1251</v>
      </c>
      <c r="F338">
        <v>499</v>
      </c>
      <c r="G338" t="s">
        <v>46</v>
      </c>
      <c r="H338" t="s">
        <v>26</v>
      </c>
      <c r="I338" t="s">
        <v>27</v>
      </c>
      <c r="J338">
        <v>2022</v>
      </c>
      <c r="K338" t="s">
        <v>28</v>
      </c>
      <c r="L338" t="s">
        <v>1252</v>
      </c>
      <c r="M338">
        <v>75000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50.675899999999999</v>
      </c>
      <c r="T338">
        <v>-4.6129100000000003</v>
      </c>
      <c r="U338">
        <v>45</v>
      </c>
      <c r="V338">
        <v>0.9</v>
      </c>
      <c r="W338">
        <f t="shared" si="5"/>
        <v>75000</v>
      </c>
    </row>
    <row r="339" spans="1:23" x14ac:dyDescent="0.35">
      <c r="A339" t="s">
        <v>30</v>
      </c>
      <c r="B339" t="s">
        <v>338</v>
      </c>
      <c r="C339" t="s">
        <v>273</v>
      </c>
      <c r="D339" t="s">
        <v>1253</v>
      </c>
      <c r="E339" t="s">
        <v>1254</v>
      </c>
      <c r="F339">
        <v>989</v>
      </c>
      <c r="G339">
        <v>0</v>
      </c>
      <c r="H339" t="s">
        <v>26</v>
      </c>
      <c r="I339" t="s">
        <v>27</v>
      </c>
      <c r="J339">
        <v>2012</v>
      </c>
      <c r="K339" t="s">
        <v>28</v>
      </c>
      <c r="L339" t="s">
        <v>276</v>
      </c>
      <c r="M339">
        <v>20000</v>
      </c>
      <c r="N339">
        <v>0</v>
      </c>
      <c r="O339">
        <v>20000</v>
      </c>
      <c r="P339">
        <v>0</v>
      </c>
      <c r="Q339">
        <v>0</v>
      </c>
      <c r="R339">
        <v>0</v>
      </c>
      <c r="S339">
        <v>51.918759999999999</v>
      </c>
      <c r="T339">
        <v>-0.56549000000000005</v>
      </c>
      <c r="U339">
        <v>45</v>
      </c>
      <c r="V339">
        <v>0.9</v>
      </c>
      <c r="W339">
        <f t="shared" si="5"/>
        <v>20000</v>
      </c>
    </row>
    <row r="340" spans="1:23" x14ac:dyDescent="0.35">
      <c r="A340" t="s">
        <v>30</v>
      </c>
      <c r="B340" t="s">
        <v>338</v>
      </c>
      <c r="C340" t="s">
        <v>277</v>
      </c>
      <c r="D340" t="s">
        <v>1255</v>
      </c>
      <c r="E340" t="s">
        <v>1256</v>
      </c>
      <c r="F340">
        <v>2000</v>
      </c>
      <c r="G340">
        <v>0</v>
      </c>
      <c r="H340" t="s">
        <v>26</v>
      </c>
      <c r="I340" t="s">
        <v>27</v>
      </c>
      <c r="J340">
        <v>2005</v>
      </c>
      <c r="K340" t="s">
        <v>35</v>
      </c>
      <c r="L340" t="s">
        <v>628</v>
      </c>
      <c r="M340">
        <v>47000</v>
      </c>
      <c r="N340">
        <v>12000</v>
      </c>
      <c r="O340">
        <v>0</v>
      </c>
      <c r="P340">
        <v>35000</v>
      </c>
      <c r="Q340">
        <v>0</v>
      </c>
      <c r="R340">
        <v>0</v>
      </c>
      <c r="S340">
        <v>52.18723</v>
      </c>
      <c r="T340">
        <v>-0.50439999999999996</v>
      </c>
      <c r="U340">
        <v>45</v>
      </c>
      <c r="V340">
        <v>0.9</v>
      </c>
      <c r="W340">
        <f t="shared" si="5"/>
        <v>47000</v>
      </c>
    </row>
    <row r="341" spans="1:23" x14ac:dyDescent="0.35">
      <c r="A341" t="s">
        <v>48</v>
      </c>
      <c r="B341" t="s">
        <v>186</v>
      </c>
      <c r="C341" t="s">
        <v>1257</v>
      </c>
      <c r="D341" t="s">
        <v>1258</v>
      </c>
      <c r="E341" t="s">
        <v>1259</v>
      </c>
      <c r="F341">
        <v>440</v>
      </c>
      <c r="G341">
        <v>495.00000000000011</v>
      </c>
      <c r="H341" t="s">
        <v>34</v>
      </c>
      <c r="I341" t="s">
        <v>27</v>
      </c>
      <c r="J341">
        <v>2013</v>
      </c>
      <c r="K341" t="s">
        <v>28</v>
      </c>
      <c r="L341" t="s">
        <v>176</v>
      </c>
      <c r="M341">
        <v>40000</v>
      </c>
      <c r="N341">
        <v>0</v>
      </c>
      <c r="O341">
        <v>40000</v>
      </c>
      <c r="P341">
        <v>0</v>
      </c>
      <c r="Q341">
        <v>0</v>
      </c>
      <c r="R341">
        <v>0</v>
      </c>
      <c r="S341">
        <v>53.544280000000001</v>
      </c>
      <c r="T341">
        <v>-0.97016000000000002</v>
      </c>
      <c r="U341">
        <v>45</v>
      </c>
      <c r="V341">
        <v>0.9</v>
      </c>
      <c r="W341">
        <f t="shared" si="5"/>
        <v>40000</v>
      </c>
    </row>
    <row r="342" spans="1:23" x14ac:dyDescent="0.35">
      <c r="A342" t="s">
        <v>64</v>
      </c>
      <c r="B342" t="s">
        <v>65</v>
      </c>
      <c r="C342" t="s">
        <v>277</v>
      </c>
      <c r="D342" t="s">
        <v>1260</v>
      </c>
      <c r="E342" t="s">
        <v>1261</v>
      </c>
      <c r="F342">
        <v>3700</v>
      </c>
      <c r="G342">
        <v>0</v>
      </c>
      <c r="H342" t="s">
        <v>26</v>
      </c>
      <c r="I342" t="s">
        <v>27</v>
      </c>
      <c r="J342">
        <v>2014</v>
      </c>
      <c r="K342" t="s">
        <v>35</v>
      </c>
      <c r="L342" t="s">
        <v>85</v>
      </c>
      <c r="M342">
        <v>22500</v>
      </c>
      <c r="N342">
        <v>0</v>
      </c>
      <c r="O342">
        <v>0</v>
      </c>
      <c r="P342">
        <v>22500</v>
      </c>
      <c r="Q342">
        <v>0</v>
      </c>
      <c r="R342">
        <v>0</v>
      </c>
      <c r="S342">
        <v>53.26388</v>
      </c>
      <c r="T342">
        <v>-3.4226000000000001</v>
      </c>
      <c r="U342">
        <v>45</v>
      </c>
      <c r="V342">
        <v>0.9</v>
      </c>
      <c r="W342">
        <f t="shared" si="5"/>
        <v>22500</v>
      </c>
    </row>
    <row r="343" spans="1:23" x14ac:dyDescent="0.35">
      <c r="A343" t="s">
        <v>76</v>
      </c>
      <c r="B343" t="s">
        <v>120</v>
      </c>
      <c r="C343" t="s">
        <v>308</v>
      </c>
      <c r="D343" t="s">
        <v>1262</v>
      </c>
      <c r="E343" t="s">
        <v>139</v>
      </c>
      <c r="F343">
        <v>2400</v>
      </c>
      <c r="G343" t="s">
        <v>46</v>
      </c>
      <c r="H343" t="s">
        <v>26</v>
      </c>
      <c r="I343" t="s">
        <v>27</v>
      </c>
      <c r="J343">
        <v>2013</v>
      </c>
      <c r="K343" t="s">
        <v>35</v>
      </c>
      <c r="L343" t="s">
        <v>85</v>
      </c>
      <c r="M343">
        <v>50000</v>
      </c>
      <c r="N343">
        <v>0</v>
      </c>
      <c r="O343">
        <v>0</v>
      </c>
      <c r="P343">
        <v>50000</v>
      </c>
      <c r="Q343">
        <v>0</v>
      </c>
      <c r="R343">
        <v>0</v>
      </c>
      <c r="S343">
        <v>51.614089999999997</v>
      </c>
      <c r="T343">
        <v>-1.1123499999999999</v>
      </c>
      <c r="U343">
        <v>45</v>
      </c>
      <c r="V343">
        <v>0.9</v>
      </c>
      <c r="W343">
        <f t="shared" si="5"/>
        <v>50000</v>
      </c>
    </row>
    <row r="344" spans="1:23" x14ac:dyDescent="0.35">
      <c r="A344" t="s">
        <v>163</v>
      </c>
      <c r="B344" t="s">
        <v>293</v>
      </c>
      <c r="C344" t="s">
        <v>364</v>
      </c>
      <c r="D344" t="s">
        <v>1263</v>
      </c>
      <c r="E344" t="s">
        <v>1264</v>
      </c>
      <c r="F344">
        <v>1875</v>
      </c>
      <c r="G344">
        <v>0</v>
      </c>
      <c r="H344" t="s">
        <v>26</v>
      </c>
      <c r="I344" t="s">
        <v>27</v>
      </c>
      <c r="J344">
        <v>2013</v>
      </c>
      <c r="K344" t="s">
        <v>35</v>
      </c>
      <c r="L344" t="s">
        <v>85</v>
      </c>
      <c r="M344">
        <v>30000</v>
      </c>
      <c r="N344">
        <v>0</v>
      </c>
      <c r="O344">
        <v>0</v>
      </c>
      <c r="P344">
        <v>30000</v>
      </c>
      <c r="Q344">
        <v>0</v>
      </c>
      <c r="R344">
        <v>0</v>
      </c>
      <c r="S344">
        <v>51.170349999999999</v>
      </c>
      <c r="T344">
        <v>-2.9924200000000001</v>
      </c>
      <c r="U344">
        <v>45</v>
      </c>
      <c r="V344">
        <v>0.9</v>
      </c>
      <c r="W344">
        <f t="shared" si="5"/>
        <v>30000</v>
      </c>
    </row>
    <row r="345" spans="1:23" x14ac:dyDescent="0.35">
      <c r="A345" t="s">
        <v>58</v>
      </c>
      <c r="B345" t="s">
        <v>145</v>
      </c>
      <c r="C345" t="s">
        <v>247</v>
      </c>
      <c r="D345" t="s">
        <v>1265</v>
      </c>
      <c r="E345" t="s">
        <v>1266</v>
      </c>
      <c r="F345">
        <v>1500</v>
      </c>
      <c r="G345">
        <v>0</v>
      </c>
      <c r="H345" t="s">
        <v>26</v>
      </c>
      <c r="I345" t="s">
        <v>27</v>
      </c>
      <c r="J345">
        <v>2004</v>
      </c>
      <c r="K345" t="s">
        <v>35</v>
      </c>
      <c r="L345" t="s">
        <v>333</v>
      </c>
      <c r="M345">
        <v>50000</v>
      </c>
      <c r="N345">
        <v>0</v>
      </c>
      <c r="O345">
        <v>0</v>
      </c>
      <c r="P345">
        <v>30000</v>
      </c>
      <c r="Q345">
        <v>0</v>
      </c>
      <c r="R345">
        <v>20000</v>
      </c>
      <c r="S345">
        <v>52.696640000000002</v>
      </c>
      <c r="T345">
        <v>-1.1167499999999999</v>
      </c>
      <c r="U345">
        <v>45</v>
      </c>
      <c r="V345">
        <v>0.9</v>
      </c>
      <c r="W345">
        <f t="shared" si="5"/>
        <v>50000</v>
      </c>
    </row>
    <row r="346" spans="1:23" x14ac:dyDescent="0.35">
      <c r="A346" t="s">
        <v>215</v>
      </c>
      <c r="B346" t="s">
        <v>1267</v>
      </c>
      <c r="C346" t="s">
        <v>1268</v>
      </c>
      <c r="D346" t="s">
        <v>1269</v>
      </c>
      <c r="E346" t="s">
        <v>1270</v>
      </c>
      <c r="F346">
        <v>499</v>
      </c>
      <c r="G346">
        <v>650</v>
      </c>
      <c r="H346" t="s">
        <v>34</v>
      </c>
      <c r="I346" t="s">
        <v>27</v>
      </c>
      <c r="J346">
        <v>2020</v>
      </c>
      <c r="K346" t="s">
        <v>35</v>
      </c>
      <c r="L346" t="s">
        <v>85</v>
      </c>
      <c r="M346">
        <v>70000</v>
      </c>
      <c r="N346">
        <v>0</v>
      </c>
      <c r="O346">
        <v>0</v>
      </c>
      <c r="P346">
        <v>50000</v>
      </c>
      <c r="Q346">
        <v>0</v>
      </c>
      <c r="R346">
        <v>20000</v>
      </c>
      <c r="S346">
        <v>54.952019999999997</v>
      </c>
      <c r="T346">
        <v>-1.5316399000000001</v>
      </c>
      <c r="U346">
        <v>45</v>
      </c>
      <c r="V346">
        <v>0.9</v>
      </c>
      <c r="W346">
        <f t="shared" si="5"/>
        <v>70000</v>
      </c>
    </row>
    <row r="347" spans="1:23" x14ac:dyDescent="0.35">
      <c r="A347" t="s">
        <v>215</v>
      </c>
      <c r="B347" t="s">
        <v>386</v>
      </c>
      <c r="C347" t="s">
        <v>1271</v>
      </c>
      <c r="D347" t="s">
        <v>1272</v>
      </c>
      <c r="E347" t="s">
        <v>1273</v>
      </c>
      <c r="F347">
        <v>1560</v>
      </c>
      <c r="G347">
        <v>660</v>
      </c>
      <c r="H347" t="s">
        <v>34</v>
      </c>
      <c r="I347" t="s">
        <v>27</v>
      </c>
      <c r="J347">
        <v>2013</v>
      </c>
      <c r="K347" t="s">
        <v>35</v>
      </c>
      <c r="L347" t="s">
        <v>85</v>
      </c>
      <c r="M347">
        <v>115000</v>
      </c>
      <c r="N347">
        <v>0</v>
      </c>
      <c r="O347">
        <v>0</v>
      </c>
      <c r="P347">
        <v>115000</v>
      </c>
      <c r="Q347">
        <v>0</v>
      </c>
      <c r="R347">
        <v>0</v>
      </c>
      <c r="S347">
        <v>54.605359999999997</v>
      </c>
      <c r="T347">
        <v>-1.5803499999999999</v>
      </c>
      <c r="U347">
        <v>45</v>
      </c>
      <c r="V347">
        <v>0.9</v>
      </c>
      <c r="W347">
        <f t="shared" si="5"/>
        <v>115000</v>
      </c>
    </row>
    <row r="348" spans="1:23" x14ac:dyDescent="0.35">
      <c r="A348" t="s">
        <v>22</v>
      </c>
      <c r="B348" t="s">
        <v>23</v>
      </c>
      <c r="C348" t="s">
        <v>1274</v>
      </c>
      <c r="D348" t="s">
        <v>1275</v>
      </c>
      <c r="E348" t="s">
        <v>1276</v>
      </c>
      <c r="F348">
        <v>475</v>
      </c>
      <c r="G348">
        <v>0</v>
      </c>
      <c r="H348" t="s">
        <v>26</v>
      </c>
      <c r="I348" t="s">
        <v>27</v>
      </c>
      <c r="J348">
        <v>2016</v>
      </c>
      <c r="K348" t="s">
        <v>28</v>
      </c>
      <c r="L348" t="s">
        <v>735</v>
      </c>
      <c r="M348">
        <v>13000</v>
      </c>
      <c r="N348">
        <v>9000</v>
      </c>
      <c r="O348">
        <v>4000</v>
      </c>
      <c r="P348">
        <v>0</v>
      </c>
      <c r="Q348">
        <v>0</v>
      </c>
      <c r="R348">
        <v>0</v>
      </c>
      <c r="S348">
        <v>52.391570000000002</v>
      </c>
      <c r="T348">
        <v>-2.6319499</v>
      </c>
      <c r="U348">
        <v>45</v>
      </c>
      <c r="V348">
        <v>0.9</v>
      </c>
      <c r="W348">
        <f t="shared" si="5"/>
        <v>13000</v>
      </c>
    </row>
    <row r="349" spans="1:23" x14ac:dyDescent="0.35">
      <c r="A349" t="s">
        <v>48</v>
      </c>
      <c r="B349" t="s">
        <v>49</v>
      </c>
      <c r="C349" t="s">
        <v>235</v>
      </c>
      <c r="D349" t="s">
        <v>1277</v>
      </c>
      <c r="E349" t="s">
        <v>1278</v>
      </c>
      <c r="F349">
        <v>1200</v>
      </c>
      <c r="G349">
        <v>0</v>
      </c>
      <c r="H349" t="s">
        <v>26</v>
      </c>
      <c r="I349" t="s">
        <v>27</v>
      </c>
      <c r="J349">
        <v>2014</v>
      </c>
      <c r="K349" t="s">
        <v>28</v>
      </c>
      <c r="L349" t="s">
        <v>1279</v>
      </c>
      <c r="M349">
        <v>16000</v>
      </c>
      <c r="N349">
        <v>16000</v>
      </c>
      <c r="O349">
        <v>0</v>
      </c>
      <c r="P349">
        <v>0</v>
      </c>
      <c r="Q349">
        <v>0</v>
      </c>
      <c r="R349">
        <v>0</v>
      </c>
      <c r="S349">
        <v>54.324260000000002</v>
      </c>
      <c r="T349">
        <v>-1.84978</v>
      </c>
      <c r="U349">
        <v>45</v>
      </c>
      <c r="V349">
        <v>0.9</v>
      </c>
      <c r="W349">
        <f t="shared" si="5"/>
        <v>16000</v>
      </c>
    </row>
    <row r="350" spans="1:23" x14ac:dyDescent="0.35">
      <c r="A350" t="s">
        <v>22</v>
      </c>
      <c r="B350" t="s">
        <v>242</v>
      </c>
      <c r="C350" t="s">
        <v>137</v>
      </c>
      <c r="D350" t="s">
        <v>1280</v>
      </c>
      <c r="E350" t="s">
        <v>1281</v>
      </c>
      <c r="F350">
        <v>500</v>
      </c>
      <c r="G350">
        <v>375</v>
      </c>
      <c r="H350" t="s">
        <v>34</v>
      </c>
      <c r="I350" t="s">
        <v>27</v>
      </c>
      <c r="J350">
        <v>2016</v>
      </c>
      <c r="K350" t="s">
        <v>35</v>
      </c>
      <c r="L350" t="s">
        <v>85</v>
      </c>
      <c r="M350">
        <v>50000</v>
      </c>
      <c r="N350">
        <v>0</v>
      </c>
      <c r="O350">
        <v>0</v>
      </c>
      <c r="P350">
        <v>50000</v>
      </c>
      <c r="Q350">
        <v>0</v>
      </c>
      <c r="R350">
        <v>0</v>
      </c>
      <c r="S350">
        <v>52.453000000000003</v>
      </c>
      <c r="T350">
        <v>-2.1876199999999999</v>
      </c>
      <c r="U350">
        <v>45</v>
      </c>
      <c r="V350">
        <v>0.9</v>
      </c>
      <c r="W350">
        <f t="shared" si="5"/>
        <v>50000</v>
      </c>
    </row>
    <row r="351" spans="1:23" x14ac:dyDescent="0.35">
      <c r="A351" t="s">
        <v>76</v>
      </c>
      <c r="B351" t="s">
        <v>329</v>
      </c>
      <c r="C351" t="s">
        <v>308</v>
      </c>
      <c r="D351" t="s">
        <v>1282</v>
      </c>
      <c r="E351" t="s">
        <v>1283</v>
      </c>
      <c r="F351">
        <v>2400</v>
      </c>
      <c r="G351">
        <v>0</v>
      </c>
      <c r="H351" t="s">
        <v>26</v>
      </c>
      <c r="I351" t="s">
        <v>27</v>
      </c>
      <c r="J351">
        <v>2014</v>
      </c>
      <c r="K351" t="s">
        <v>35</v>
      </c>
      <c r="L351" t="s">
        <v>85</v>
      </c>
      <c r="M351">
        <v>50000</v>
      </c>
      <c r="N351">
        <v>0</v>
      </c>
      <c r="O351">
        <v>0</v>
      </c>
      <c r="P351">
        <v>50000</v>
      </c>
      <c r="Q351">
        <v>0</v>
      </c>
      <c r="R351">
        <v>0</v>
      </c>
      <c r="S351">
        <v>51.385159999999999</v>
      </c>
      <c r="T351">
        <v>-0.5694399</v>
      </c>
      <c r="U351">
        <v>45</v>
      </c>
      <c r="V351">
        <v>0.9</v>
      </c>
      <c r="W351">
        <f t="shared" si="5"/>
        <v>50000</v>
      </c>
    </row>
    <row r="352" spans="1:23" x14ac:dyDescent="0.35">
      <c r="A352" t="s">
        <v>102</v>
      </c>
      <c r="B352" t="s">
        <v>103</v>
      </c>
      <c r="C352" t="s">
        <v>1284</v>
      </c>
      <c r="D352" t="s">
        <v>1285</v>
      </c>
      <c r="E352" t="s">
        <v>1286</v>
      </c>
      <c r="F352">
        <v>950</v>
      </c>
      <c r="G352">
        <v>0</v>
      </c>
      <c r="H352" t="s">
        <v>26</v>
      </c>
      <c r="I352" t="s">
        <v>27</v>
      </c>
      <c r="J352">
        <v>2015</v>
      </c>
      <c r="K352" t="s">
        <v>28</v>
      </c>
      <c r="L352" t="s">
        <v>176</v>
      </c>
      <c r="M352">
        <v>20000</v>
      </c>
      <c r="N352">
        <v>0</v>
      </c>
      <c r="O352">
        <v>20000</v>
      </c>
      <c r="P352">
        <v>0</v>
      </c>
      <c r="Q352">
        <v>0</v>
      </c>
      <c r="R352">
        <v>0</v>
      </c>
      <c r="S352">
        <v>55.095089999999999</v>
      </c>
      <c r="T352">
        <v>-3.5322200000000001</v>
      </c>
      <c r="U352">
        <v>45</v>
      </c>
      <c r="V352">
        <v>0.9</v>
      </c>
      <c r="W352">
        <f t="shared" si="5"/>
        <v>20000</v>
      </c>
    </row>
    <row r="353" spans="1:23" x14ac:dyDescent="0.35">
      <c r="A353" t="s">
        <v>76</v>
      </c>
      <c r="B353" t="s">
        <v>77</v>
      </c>
      <c r="C353" t="s">
        <v>545</v>
      </c>
      <c r="D353" t="s">
        <v>1287</v>
      </c>
      <c r="E353" t="s">
        <v>1288</v>
      </c>
      <c r="F353">
        <v>3200</v>
      </c>
      <c r="G353">
        <v>0</v>
      </c>
      <c r="H353" t="s">
        <v>26</v>
      </c>
      <c r="I353" t="s">
        <v>27</v>
      </c>
      <c r="J353">
        <v>2013</v>
      </c>
      <c r="K353" t="s">
        <v>35</v>
      </c>
      <c r="L353" t="s">
        <v>85</v>
      </c>
      <c r="M353">
        <v>96000</v>
      </c>
      <c r="N353">
        <v>0</v>
      </c>
      <c r="O353">
        <v>0</v>
      </c>
      <c r="P353">
        <v>96000</v>
      </c>
      <c r="Q353">
        <v>0</v>
      </c>
      <c r="R353">
        <v>0</v>
      </c>
      <c r="S353">
        <v>51.843249999999998</v>
      </c>
      <c r="T353">
        <v>-0.97316000000000003</v>
      </c>
      <c r="U353">
        <v>45</v>
      </c>
      <c r="V353">
        <v>0.9</v>
      </c>
      <c r="W353">
        <f t="shared" si="5"/>
        <v>96000</v>
      </c>
    </row>
    <row r="354" spans="1:23" x14ac:dyDescent="0.35">
      <c r="A354" t="s">
        <v>102</v>
      </c>
      <c r="B354" t="s">
        <v>587</v>
      </c>
      <c r="C354" t="s">
        <v>1289</v>
      </c>
      <c r="D354" t="s">
        <v>1290</v>
      </c>
      <c r="E354" t="s">
        <v>1291</v>
      </c>
      <c r="F354">
        <v>800</v>
      </c>
      <c r="G354">
        <v>0</v>
      </c>
      <c r="H354" t="s">
        <v>26</v>
      </c>
      <c r="I354" t="s">
        <v>27</v>
      </c>
      <c r="J354">
        <v>2016</v>
      </c>
      <c r="K354" t="s">
        <v>28</v>
      </c>
      <c r="L354" t="s">
        <v>924</v>
      </c>
      <c r="M354">
        <v>25000</v>
      </c>
      <c r="N354">
        <v>10000</v>
      </c>
      <c r="O354">
        <v>15000</v>
      </c>
      <c r="P354">
        <v>0</v>
      </c>
      <c r="Q354">
        <v>0</v>
      </c>
      <c r="R354">
        <v>0</v>
      </c>
      <c r="S354">
        <v>57.64631</v>
      </c>
      <c r="T354">
        <v>-3.4639199999999999</v>
      </c>
      <c r="U354">
        <v>45</v>
      </c>
      <c r="V354">
        <v>0.9</v>
      </c>
      <c r="W354">
        <f t="shared" si="5"/>
        <v>25000</v>
      </c>
    </row>
    <row r="355" spans="1:23" x14ac:dyDescent="0.35">
      <c r="A355" t="s">
        <v>102</v>
      </c>
      <c r="B355" t="s">
        <v>587</v>
      </c>
      <c r="C355" t="s">
        <v>524</v>
      </c>
      <c r="D355" t="s">
        <v>1292</v>
      </c>
      <c r="E355" t="s">
        <v>1293</v>
      </c>
      <c r="F355">
        <v>450</v>
      </c>
      <c r="G355">
        <v>0</v>
      </c>
      <c r="H355" t="s">
        <v>26</v>
      </c>
      <c r="I355" t="s">
        <v>27</v>
      </c>
      <c r="J355">
        <v>2015</v>
      </c>
      <c r="K355" t="s">
        <v>28</v>
      </c>
      <c r="L355" t="s">
        <v>1294</v>
      </c>
      <c r="M355">
        <v>20650</v>
      </c>
      <c r="N355">
        <v>3650</v>
      </c>
      <c r="O355">
        <v>16000</v>
      </c>
      <c r="P355">
        <v>0</v>
      </c>
      <c r="Q355">
        <v>1000</v>
      </c>
      <c r="R355">
        <v>0</v>
      </c>
      <c r="S355">
        <v>57.539450000000002</v>
      </c>
      <c r="T355">
        <v>-4.0865400000000003</v>
      </c>
      <c r="U355">
        <v>45</v>
      </c>
      <c r="V355">
        <v>0.9</v>
      </c>
      <c r="W355">
        <f t="shared" si="5"/>
        <v>20650</v>
      </c>
    </row>
    <row r="356" spans="1:23" x14ac:dyDescent="0.35">
      <c r="A356" t="s">
        <v>48</v>
      </c>
      <c r="B356" t="s">
        <v>49</v>
      </c>
      <c r="C356" t="s">
        <v>235</v>
      </c>
      <c r="D356" t="s">
        <v>1295</v>
      </c>
      <c r="E356" t="s">
        <v>1296</v>
      </c>
      <c r="F356">
        <v>1800</v>
      </c>
      <c r="G356">
        <v>0</v>
      </c>
      <c r="H356" t="s">
        <v>26</v>
      </c>
      <c r="I356" t="s">
        <v>27</v>
      </c>
      <c r="J356">
        <v>2014</v>
      </c>
      <c r="K356" t="s">
        <v>28</v>
      </c>
      <c r="L356" t="s">
        <v>1297</v>
      </c>
      <c r="M356">
        <v>22300</v>
      </c>
      <c r="N356">
        <v>19000</v>
      </c>
      <c r="O356">
        <v>3300</v>
      </c>
      <c r="P356">
        <v>0</v>
      </c>
      <c r="Q356">
        <v>0</v>
      </c>
      <c r="R356">
        <v>0</v>
      </c>
      <c r="S356">
        <v>54.192630000000001</v>
      </c>
      <c r="T356">
        <v>-1.3234399999999999</v>
      </c>
      <c r="U356">
        <v>45</v>
      </c>
      <c r="V356">
        <v>0.9</v>
      </c>
      <c r="W356">
        <f t="shared" si="5"/>
        <v>22300</v>
      </c>
    </row>
    <row r="357" spans="1:23" x14ac:dyDescent="0.35">
      <c r="A357" t="s">
        <v>58</v>
      </c>
      <c r="B357" t="s">
        <v>145</v>
      </c>
      <c r="C357" t="s">
        <v>1298</v>
      </c>
      <c r="D357" t="s">
        <v>1299</v>
      </c>
      <c r="E357" t="s">
        <v>1300</v>
      </c>
      <c r="F357">
        <v>500</v>
      </c>
      <c r="G357">
        <v>0</v>
      </c>
      <c r="H357" t="s">
        <v>26</v>
      </c>
      <c r="I357" t="s">
        <v>27</v>
      </c>
      <c r="J357">
        <v>2016</v>
      </c>
      <c r="K357" t="s">
        <v>35</v>
      </c>
      <c r="L357" t="s">
        <v>1301</v>
      </c>
      <c r="M357">
        <v>20000</v>
      </c>
      <c r="N357">
        <v>0</v>
      </c>
      <c r="O357">
        <v>0</v>
      </c>
      <c r="P357">
        <v>0</v>
      </c>
      <c r="Q357">
        <v>0</v>
      </c>
      <c r="R357">
        <v>20000</v>
      </c>
      <c r="S357">
        <v>52.705030000000001</v>
      </c>
      <c r="T357">
        <v>-1.5280100000000001</v>
      </c>
      <c r="U357">
        <v>45</v>
      </c>
      <c r="V357">
        <v>0.9</v>
      </c>
      <c r="W357">
        <f t="shared" si="5"/>
        <v>20000</v>
      </c>
    </row>
    <row r="358" spans="1:23" x14ac:dyDescent="0.35">
      <c r="A358" t="s">
        <v>163</v>
      </c>
      <c r="B358" t="s">
        <v>293</v>
      </c>
      <c r="C358" t="s">
        <v>277</v>
      </c>
      <c r="D358" t="s">
        <v>1302</v>
      </c>
      <c r="E358" t="s">
        <v>1303</v>
      </c>
      <c r="F358">
        <v>1100</v>
      </c>
      <c r="G358">
        <v>0</v>
      </c>
      <c r="H358" t="s">
        <v>26</v>
      </c>
      <c r="I358" t="s">
        <v>27</v>
      </c>
      <c r="J358">
        <v>2013</v>
      </c>
      <c r="K358" t="s">
        <v>35</v>
      </c>
      <c r="L358" t="s">
        <v>85</v>
      </c>
      <c r="M358">
        <v>24000</v>
      </c>
      <c r="N358">
        <v>0</v>
      </c>
      <c r="O358">
        <v>0</v>
      </c>
      <c r="P358">
        <v>24000</v>
      </c>
      <c r="Q358">
        <v>0</v>
      </c>
      <c r="R358">
        <v>0</v>
      </c>
      <c r="S358">
        <v>51.344510884615389</v>
      </c>
      <c r="T358">
        <v>-2.9442404692307691</v>
      </c>
      <c r="U358">
        <v>45</v>
      </c>
      <c r="V358">
        <v>0.9</v>
      </c>
      <c r="W358">
        <f t="shared" si="5"/>
        <v>24000</v>
      </c>
    </row>
    <row r="359" spans="1:23" x14ac:dyDescent="0.35">
      <c r="A359" t="s">
        <v>58</v>
      </c>
      <c r="B359" t="s">
        <v>536</v>
      </c>
      <c r="C359" t="s">
        <v>277</v>
      </c>
      <c r="D359" t="s">
        <v>1304</v>
      </c>
      <c r="E359" t="s">
        <v>1305</v>
      </c>
      <c r="F359">
        <v>2900</v>
      </c>
      <c r="G359">
        <v>0</v>
      </c>
      <c r="H359" t="s">
        <v>26</v>
      </c>
      <c r="I359" t="s">
        <v>27</v>
      </c>
      <c r="J359">
        <v>2009</v>
      </c>
      <c r="K359" t="s">
        <v>35</v>
      </c>
      <c r="L359" t="s">
        <v>85</v>
      </c>
      <c r="M359">
        <v>65000</v>
      </c>
      <c r="N359">
        <v>0</v>
      </c>
      <c r="O359">
        <v>0</v>
      </c>
      <c r="P359">
        <v>65000</v>
      </c>
      <c r="Q359">
        <v>0</v>
      </c>
      <c r="R359">
        <v>0</v>
      </c>
      <c r="S359">
        <v>52.262680000000003</v>
      </c>
      <c r="T359">
        <v>-0.57057000000000002</v>
      </c>
      <c r="U359">
        <v>45</v>
      </c>
      <c r="V359">
        <v>0.9</v>
      </c>
      <c r="W359">
        <f t="shared" si="5"/>
        <v>65000</v>
      </c>
    </row>
    <row r="360" spans="1:23" x14ac:dyDescent="0.35">
      <c r="A360" t="s">
        <v>163</v>
      </c>
      <c r="B360" t="s">
        <v>293</v>
      </c>
      <c r="C360" t="s">
        <v>1306</v>
      </c>
      <c r="D360" t="s">
        <v>1307</v>
      </c>
      <c r="E360" t="s">
        <v>1308</v>
      </c>
      <c r="F360">
        <v>495</v>
      </c>
      <c r="G360">
        <v>0</v>
      </c>
      <c r="H360" t="s">
        <v>26</v>
      </c>
      <c r="I360" t="s">
        <v>27</v>
      </c>
      <c r="J360">
        <v>2013</v>
      </c>
      <c r="K360" t="s">
        <v>28</v>
      </c>
      <c r="L360" t="s">
        <v>1309</v>
      </c>
      <c r="M360">
        <v>27500</v>
      </c>
      <c r="N360">
        <v>25000</v>
      </c>
      <c r="O360">
        <v>2500</v>
      </c>
      <c r="P360">
        <v>0</v>
      </c>
      <c r="Q360">
        <v>0</v>
      </c>
      <c r="R360">
        <v>0</v>
      </c>
      <c r="S360">
        <v>51.11168</v>
      </c>
      <c r="T360">
        <v>-2.4819</v>
      </c>
      <c r="U360">
        <v>45</v>
      </c>
      <c r="V360">
        <v>0.9</v>
      </c>
      <c r="W360">
        <f t="shared" si="5"/>
        <v>27500</v>
      </c>
    </row>
    <row r="361" spans="1:23" x14ac:dyDescent="0.35">
      <c r="A361" t="s">
        <v>76</v>
      </c>
      <c r="B361" t="s">
        <v>633</v>
      </c>
      <c r="C361" t="s">
        <v>1310</v>
      </c>
      <c r="D361" t="s">
        <v>1311</v>
      </c>
      <c r="E361" t="s">
        <v>1312</v>
      </c>
      <c r="F361">
        <v>250</v>
      </c>
      <c r="G361">
        <v>500</v>
      </c>
      <c r="H361" t="s">
        <v>34</v>
      </c>
      <c r="I361" t="s">
        <v>27</v>
      </c>
      <c r="J361">
        <v>2015</v>
      </c>
      <c r="K361" t="s">
        <v>28</v>
      </c>
      <c r="L361" t="s">
        <v>307</v>
      </c>
      <c r="M361">
        <v>45000</v>
      </c>
      <c r="N361">
        <v>0</v>
      </c>
      <c r="O361">
        <v>45000</v>
      </c>
      <c r="P361">
        <v>0</v>
      </c>
      <c r="Q361">
        <v>0</v>
      </c>
      <c r="R361">
        <v>0</v>
      </c>
      <c r="S361">
        <v>50.674689999999998</v>
      </c>
      <c r="T361">
        <v>-1.2532099999999999</v>
      </c>
      <c r="U361">
        <v>45</v>
      </c>
      <c r="V361">
        <v>0.9</v>
      </c>
      <c r="W361">
        <f t="shared" si="5"/>
        <v>45000</v>
      </c>
    </row>
    <row r="362" spans="1:23" x14ac:dyDescent="0.35">
      <c r="A362" t="s">
        <v>22</v>
      </c>
      <c r="B362" t="s">
        <v>23</v>
      </c>
      <c r="C362" t="s">
        <v>1313</v>
      </c>
      <c r="D362" t="s">
        <v>1314</v>
      </c>
      <c r="E362" t="s">
        <v>1315</v>
      </c>
      <c r="F362">
        <v>479.06</v>
      </c>
      <c r="G362">
        <v>0</v>
      </c>
      <c r="H362" t="s">
        <v>26</v>
      </c>
      <c r="I362" t="s">
        <v>27</v>
      </c>
      <c r="J362">
        <v>2013</v>
      </c>
      <c r="K362" t="s">
        <v>28</v>
      </c>
      <c r="L362" t="s">
        <v>1316</v>
      </c>
      <c r="M362">
        <v>15000</v>
      </c>
      <c r="N362">
        <v>5000</v>
      </c>
      <c r="O362">
        <v>10000</v>
      </c>
      <c r="P362">
        <v>0</v>
      </c>
      <c r="Q362">
        <v>0</v>
      </c>
      <c r="R362">
        <v>0</v>
      </c>
      <c r="S362">
        <v>52.387340000000002</v>
      </c>
      <c r="T362">
        <v>-2.7019199999999999</v>
      </c>
      <c r="U362">
        <v>45</v>
      </c>
      <c r="V362">
        <v>0.9</v>
      </c>
      <c r="W362">
        <f t="shared" si="5"/>
        <v>15000</v>
      </c>
    </row>
    <row r="363" spans="1:23" x14ac:dyDescent="0.35">
      <c r="A363" t="s">
        <v>22</v>
      </c>
      <c r="B363" t="s">
        <v>23</v>
      </c>
      <c r="C363" t="s">
        <v>1313</v>
      </c>
      <c r="D363" t="s">
        <v>1317</v>
      </c>
      <c r="E363" t="s">
        <v>1315</v>
      </c>
      <c r="F363">
        <v>600</v>
      </c>
      <c r="G363">
        <v>0</v>
      </c>
      <c r="H363" t="s">
        <v>26</v>
      </c>
      <c r="I363" t="s">
        <v>27</v>
      </c>
      <c r="J363">
        <v>2016</v>
      </c>
      <c r="K363" t="s">
        <v>28</v>
      </c>
      <c r="L363" t="s">
        <v>643</v>
      </c>
      <c r="M363">
        <v>15000</v>
      </c>
      <c r="N363">
        <v>5000</v>
      </c>
      <c r="O363">
        <v>10000</v>
      </c>
      <c r="P363">
        <v>0</v>
      </c>
      <c r="Q363">
        <v>0</v>
      </c>
      <c r="R363">
        <v>0</v>
      </c>
      <c r="S363">
        <v>52.387340000000002</v>
      </c>
      <c r="T363">
        <v>-2.7019199999999999</v>
      </c>
      <c r="U363">
        <v>45</v>
      </c>
      <c r="V363">
        <v>0.9</v>
      </c>
      <c r="W363">
        <f t="shared" si="5"/>
        <v>15000</v>
      </c>
    </row>
    <row r="364" spans="1:23" x14ac:dyDescent="0.35">
      <c r="A364" t="s">
        <v>70</v>
      </c>
      <c r="B364" t="s">
        <v>528</v>
      </c>
      <c r="C364" t="s">
        <v>1318</v>
      </c>
      <c r="D364" t="s">
        <v>1319</v>
      </c>
      <c r="E364" t="s">
        <v>1320</v>
      </c>
      <c r="F364">
        <v>499</v>
      </c>
      <c r="G364">
        <v>0</v>
      </c>
      <c r="H364" t="s">
        <v>26</v>
      </c>
      <c r="I364" t="s">
        <v>27</v>
      </c>
      <c r="J364">
        <v>2014</v>
      </c>
      <c r="K364" t="s">
        <v>28</v>
      </c>
      <c r="L364" t="s">
        <v>1321</v>
      </c>
      <c r="M364">
        <v>18000</v>
      </c>
      <c r="N364">
        <v>7000</v>
      </c>
      <c r="O364">
        <v>11000</v>
      </c>
      <c r="P364">
        <v>0</v>
      </c>
      <c r="Q364">
        <v>0</v>
      </c>
      <c r="R364">
        <v>0</v>
      </c>
      <c r="S364">
        <v>53.938270000000003</v>
      </c>
      <c r="T364">
        <v>-2.246</v>
      </c>
      <c r="U364">
        <v>45</v>
      </c>
      <c r="V364">
        <v>0.9</v>
      </c>
      <c r="W364">
        <f t="shared" si="5"/>
        <v>18000</v>
      </c>
    </row>
    <row r="365" spans="1:23" x14ac:dyDescent="0.35">
      <c r="A365" t="s">
        <v>163</v>
      </c>
      <c r="B365" t="s">
        <v>358</v>
      </c>
      <c r="C365" t="s">
        <v>1322</v>
      </c>
      <c r="D365" t="s">
        <v>1323</v>
      </c>
      <c r="E365" t="s">
        <v>1324</v>
      </c>
      <c r="F365">
        <v>1300</v>
      </c>
      <c r="G365">
        <v>1000</v>
      </c>
      <c r="H365" t="s">
        <v>34</v>
      </c>
      <c r="I365" t="s">
        <v>27</v>
      </c>
      <c r="J365">
        <v>2015</v>
      </c>
      <c r="K365" t="s">
        <v>35</v>
      </c>
      <c r="L365" t="s">
        <v>1325</v>
      </c>
      <c r="M365">
        <v>120000</v>
      </c>
      <c r="N365">
        <v>0</v>
      </c>
      <c r="O365">
        <v>45000</v>
      </c>
      <c r="P365">
        <v>0</v>
      </c>
      <c r="Q365">
        <v>0</v>
      </c>
      <c r="R365">
        <v>75000</v>
      </c>
      <c r="S365">
        <v>50.891500000000001</v>
      </c>
      <c r="T365">
        <v>-3.38002</v>
      </c>
      <c r="U365">
        <v>45</v>
      </c>
      <c r="V365">
        <v>0.9</v>
      </c>
      <c r="W365">
        <f t="shared" si="5"/>
        <v>120000</v>
      </c>
    </row>
    <row r="366" spans="1:23" x14ac:dyDescent="0.35">
      <c r="A366" t="s">
        <v>163</v>
      </c>
      <c r="B366" t="s">
        <v>169</v>
      </c>
      <c r="C366" t="s">
        <v>1326</v>
      </c>
      <c r="D366" t="s">
        <v>1327</v>
      </c>
      <c r="E366" t="s">
        <v>574</v>
      </c>
      <c r="F366">
        <v>3000</v>
      </c>
      <c r="G366">
        <v>0</v>
      </c>
      <c r="H366" t="s">
        <v>26</v>
      </c>
      <c r="I366" t="s">
        <v>27</v>
      </c>
      <c r="J366">
        <v>2021</v>
      </c>
      <c r="K366" t="s">
        <v>35</v>
      </c>
      <c r="L366" t="s">
        <v>85</v>
      </c>
      <c r="M366">
        <v>50000</v>
      </c>
      <c r="N366">
        <v>0</v>
      </c>
      <c r="O366">
        <v>0</v>
      </c>
      <c r="P366">
        <v>50000</v>
      </c>
      <c r="Q366">
        <v>0</v>
      </c>
      <c r="R366">
        <v>0</v>
      </c>
      <c r="S366">
        <v>51.512720666666667</v>
      </c>
      <c r="T366">
        <v>-2.6728860666666669</v>
      </c>
      <c r="U366">
        <v>45</v>
      </c>
      <c r="V366">
        <v>0.9</v>
      </c>
      <c r="W366">
        <f t="shared" si="5"/>
        <v>50000</v>
      </c>
    </row>
    <row r="367" spans="1:23" x14ac:dyDescent="0.35">
      <c r="A367" t="s">
        <v>163</v>
      </c>
      <c r="B367" t="s">
        <v>169</v>
      </c>
      <c r="C367" t="s">
        <v>1328</v>
      </c>
      <c r="D367" t="s">
        <v>1329</v>
      </c>
      <c r="E367" t="s">
        <v>171</v>
      </c>
      <c r="F367">
        <v>1000</v>
      </c>
      <c r="G367">
        <v>0</v>
      </c>
      <c r="H367" t="s">
        <v>26</v>
      </c>
      <c r="I367" t="s">
        <v>27</v>
      </c>
      <c r="J367">
        <v>2014</v>
      </c>
      <c r="K367" t="s">
        <v>35</v>
      </c>
      <c r="L367" t="s">
        <v>333</v>
      </c>
      <c r="M367">
        <v>30000</v>
      </c>
      <c r="N367">
        <v>0</v>
      </c>
      <c r="O367">
        <v>0</v>
      </c>
      <c r="P367">
        <v>18000</v>
      </c>
      <c r="Q367">
        <v>0</v>
      </c>
      <c r="R367">
        <v>12000</v>
      </c>
      <c r="S367">
        <v>51.946533250000002</v>
      </c>
      <c r="T367">
        <v>-2.08244345</v>
      </c>
      <c r="U367">
        <v>45</v>
      </c>
      <c r="V367">
        <v>0.9</v>
      </c>
      <c r="W367">
        <f t="shared" si="5"/>
        <v>30000</v>
      </c>
    </row>
    <row r="368" spans="1:23" x14ac:dyDescent="0.35">
      <c r="A368" t="s">
        <v>22</v>
      </c>
      <c r="B368" t="s">
        <v>23</v>
      </c>
      <c r="C368" t="s">
        <v>1330</v>
      </c>
      <c r="D368" t="s">
        <v>1331</v>
      </c>
      <c r="E368" t="s">
        <v>1332</v>
      </c>
      <c r="F368">
        <v>755</v>
      </c>
      <c r="G368">
        <v>0</v>
      </c>
      <c r="H368" t="s">
        <v>26</v>
      </c>
      <c r="I368" t="s">
        <v>27</v>
      </c>
      <c r="J368">
        <v>2016</v>
      </c>
      <c r="K368" t="s">
        <v>28</v>
      </c>
      <c r="L368" t="s">
        <v>1333</v>
      </c>
      <c r="M368">
        <v>16000</v>
      </c>
      <c r="N368">
        <v>7750</v>
      </c>
      <c r="O368">
        <v>8250</v>
      </c>
      <c r="P368">
        <v>0</v>
      </c>
      <c r="Q368">
        <v>0</v>
      </c>
      <c r="R368">
        <v>0</v>
      </c>
      <c r="S368">
        <v>52.373809999999999</v>
      </c>
      <c r="T368">
        <v>-2.5248900000000001</v>
      </c>
      <c r="U368">
        <v>45</v>
      </c>
      <c r="V368">
        <v>0.9</v>
      </c>
      <c r="W368">
        <f t="shared" si="5"/>
        <v>16000</v>
      </c>
    </row>
    <row r="369" spans="1:23" x14ac:dyDescent="0.35">
      <c r="A369" t="s">
        <v>58</v>
      </c>
      <c r="B369" t="s">
        <v>159</v>
      </c>
      <c r="C369" t="s">
        <v>1334</v>
      </c>
      <c r="D369" t="s">
        <v>1335</v>
      </c>
      <c r="E369" t="s">
        <v>1336</v>
      </c>
      <c r="F369">
        <v>449</v>
      </c>
      <c r="G369">
        <v>0</v>
      </c>
      <c r="H369" t="s">
        <v>26</v>
      </c>
      <c r="I369" t="s">
        <v>27</v>
      </c>
      <c r="J369">
        <v>2014</v>
      </c>
      <c r="K369" t="s">
        <v>28</v>
      </c>
      <c r="L369" t="s">
        <v>1337</v>
      </c>
      <c r="M369">
        <v>11800</v>
      </c>
      <c r="N369">
        <v>3000</v>
      </c>
      <c r="O369">
        <v>8800</v>
      </c>
      <c r="P369">
        <v>0</v>
      </c>
      <c r="Q369">
        <v>0</v>
      </c>
      <c r="R369">
        <v>0</v>
      </c>
      <c r="S369">
        <v>52.900109999999998</v>
      </c>
      <c r="T369">
        <v>-0.89398999999999995</v>
      </c>
      <c r="U369">
        <v>45</v>
      </c>
      <c r="V369">
        <v>0.9</v>
      </c>
      <c r="W369">
        <f t="shared" si="5"/>
        <v>11800</v>
      </c>
    </row>
    <row r="370" spans="1:23" x14ac:dyDescent="0.35">
      <c r="A370" t="s">
        <v>48</v>
      </c>
      <c r="B370" t="s">
        <v>351</v>
      </c>
      <c r="C370" t="s">
        <v>1338</v>
      </c>
      <c r="D370" t="s">
        <v>1339</v>
      </c>
      <c r="E370" t="s">
        <v>1340</v>
      </c>
      <c r="F370">
        <v>1140</v>
      </c>
      <c r="G370">
        <v>0</v>
      </c>
      <c r="H370" t="s">
        <v>26</v>
      </c>
      <c r="I370" t="s">
        <v>27</v>
      </c>
      <c r="J370">
        <v>2015</v>
      </c>
      <c r="K370" t="s">
        <v>28</v>
      </c>
      <c r="L370" t="s">
        <v>176</v>
      </c>
      <c r="M370">
        <v>25000</v>
      </c>
      <c r="N370">
        <v>0</v>
      </c>
      <c r="O370">
        <v>25000</v>
      </c>
      <c r="P370">
        <v>0</v>
      </c>
      <c r="Q370">
        <v>0</v>
      </c>
      <c r="R370">
        <v>0</v>
      </c>
      <c r="S370">
        <v>53.87771</v>
      </c>
      <c r="T370">
        <v>-1.39388</v>
      </c>
      <c r="U370">
        <v>45</v>
      </c>
      <c r="V370">
        <v>0.9</v>
      </c>
      <c r="W370">
        <f t="shared" si="5"/>
        <v>25000</v>
      </c>
    </row>
    <row r="371" spans="1:23" x14ac:dyDescent="0.35">
      <c r="A371" t="s">
        <v>48</v>
      </c>
      <c r="B371" t="s">
        <v>49</v>
      </c>
      <c r="C371" t="s">
        <v>1341</v>
      </c>
      <c r="D371" t="s">
        <v>1342</v>
      </c>
      <c r="E371" t="s">
        <v>1343</v>
      </c>
      <c r="F371">
        <v>481</v>
      </c>
      <c r="G371">
        <v>0</v>
      </c>
      <c r="H371" t="s">
        <v>26</v>
      </c>
      <c r="I371" t="s">
        <v>27</v>
      </c>
      <c r="J371">
        <v>2015</v>
      </c>
      <c r="K371" t="s">
        <v>28</v>
      </c>
      <c r="L371" t="s">
        <v>1344</v>
      </c>
      <c r="M371">
        <v>16200</v>
      </c>
      <c r="N371">
        <v>11000</v>
      </c>
      <c r="O371">
        <v>1400</v>
      </c>
      <c r="P371">
        <v>0</v>
      </c>
      <c r="Q371">
        <v>3800</v>
      </c>
      <c r="R371">
        <v>0</v>
      </c>
      <c r="S371">
        <v>54.205080000000002</v>
      </c>
      <c r="T371">
        <v>-0.75702999999999998</v>
      </c>
      <c r="U371">
        <v>45</v>
      </c>
      <c r="V371">
        <v>0.9</v>
      </c>
      <c r="W371">
        <f t="shared" si="5"/>
        <v>16200</v>
      </c>
    </row>
    <row r="372" spans="1:23" x14ac:dyDescent="0.35">
      <c r="A372" t="s">
        <v>163</v>
      </c>
      <c r="B372" t="s">
        <v>293</v>
      </c>
      <c r="C372" t="s">
        <v>1345</v>
      </c>
      <c r="D372" t="s">
        <v>1346</v>
      </c>
      <c r="E372" t="s">
        <v>1347</v>
      </c>
      <c r="F372">
        <v>495</v>
      </c>
      <c r="G372">
        <v>770.00000000000011</v>
      </c>
      <c r="H372" t="s">
        <v>34</v>
      </c>
      <c r="I372" t="s">
        <v>27</v>
      </c>
      <c r="J372">
        <v>2013</v>
      </c>
      <c r="K372" t="s">
        <v>35</v>
      </c>
      <c r="L372" t="s">
        <v>1348</v>
      </c>
      <c r="M372">
        <v>75000</v>
      </c>
      <c r="N372">
        <v>10000</v>
      </c>
      <c r="O372">
        <v>0</v>
      </c>
      <c r="P372">
        <v>0</v>
      </c>
      <c r="Q372">
        <v>0</v>
      </c>
      <c r="R372">
        <v>65000</v>
      </c>
      <c r="S372">
        <v>51.114930000000001</v>
      </c>
      <c r="T372">
        <v>-2.5020099999999998</v>
      </c>
      <c r="U372">
        <v>45</v>
      </c>
      <c r="V372">
        <v>0.9</v>
      </c>
      <c r="W372">
        <f t="shared" si="5"/>
        <v>75000</v>
      </c>
    </row>
    <row r="373" spans="1:23" x14ac:dyDescent="0.35">
      <c r="A373" t="s">
        <v>22</v>
      </c>
      <c r="B373" t="s">
        <v>23</v>
      </c>
      <c r="C373" t="s">
        <v>1349</v>
      </c>
      <c r="D373" t="s">
        <v>1350</v>
      </c>
      <c r="E373" t="s">
        <v>1351</v>
      </c>
      <c r="F373">
        <v>1250</v>
      </c>
      <c r="G373">
        <v>0</v>
      </c>
      <c r="H373" t="s">
        <v>26</v>
      </c>
      <c r="I373" t="s">
        <v>27</v>
      </c>
      <c r="J373">
        <v>2012</v>
      </c>
      <c r="K373" t="s">
        <v>28</v>
      </c>
      <c r="L373" t="s">
        <v>1352</v>
      </c>
      <c r="M373">
        <v>22900</v>
      </c>
      <c r="N373">
        <v>13750</v>
      </c>
      <c r="O373">
        <v>6900</v>
      </c>
      <c r="P373">
        <v>0</v>
      </c>
      <c r="Q373">
        <v>2250</v>
      </c>
      <c r="R373">
        <v>0</v>
      </c>
      <c r="S373">
        <v>52.818350000000002</v>
      </c>
      <c r="T373">
        <v>-2.90611</v>
      </c>
      <c r="U373">
        <v>45</v>
      </c>
      <c r="V373">
        <v>0.9</v>
      </c>
      <c r="W373">
        <f t="shared" si="5"/>
        <v>22900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2024-08-19T13:56:30Z</dcterms:created>
  <dcterms:modified xsi:type="dcterms:W3CDTF">2024-08-19T13:57:40Z</dcterms:modified>
</cp:coreProperties>
</file>